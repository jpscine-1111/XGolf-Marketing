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Maline\Box\Clients\X-Golf\CFO\2025\"/>
    </mc:Choice>
  </mc:AlternateContent>
  <xr:revisionPtr revIDLastSave="0" documentId="13_ncr:1_{3FFB7BF2-188C-4869-9181-0B68B0254176}" xr6:coauthVersionLast="47" xr6:coauthVersionMax="47" xr10:uidLastSave="{00000000-0000-0000-0000-000000000000}"/>
  <bookViews>
    <workbookView xWindow="-57720" yWindow="45" windowWidth="29040" windowHeight="15720" tabRatio="651" activeTab="3" xr2:uid="{15D24A26-BF9D-4047-8632-6EFFC0037CF0}"/>
  </bookViews>
  <sheets>
    <sheet name="Balance Sheet" sheetId="10" r:id="rId1"/>
    <sheet name="Income Statement" sheetId="8" r:id="rId2"/>
    <sheet name="Cash Flows" sheetId="9" r:id="rId3"/>
    <sheet name="Capital Expenses" sheetId="18" r:id="rId4"/>
    <sheet name="Stock Equity" sheetId="1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8" l="1"/>
  <c r="N18" i="18"/>
  <c r="N19" i="18"/>
  <c r="N14" i="18"/>
  <c r="N10" i="18"/>
  <c r="N11" i="18"/>
  <c r="N12" i="18"/>
  <c r="N13" i="18"/>
  <c r="N15" i="18"/>
  <c r="N9" i="18"/>
  <c r="L9" i="18"/>
  <c r="L14" i="18"/>
  <c r="L15" i="18"/>
  <c r="J22" i="16"/>
  <c r="J18" i="16"/>
  <c r="J14" i="16"/>
  <c r="J10" i="16"/>
  <c r="H26" i="16"/>
  <c r="H30" i="16"/>
  <c r="H29" i="16"/>
  <c r="F30" i="16"/>
  <c r="D30" i="16"/>
  <c r="J29" i="16"/>
  <c r="J28" i="16"/>
  <c r="H27" i="16"/>
  <c r="J27" i="16" s="1"/>
  <c r="E48" i="10"/>
  <c r="E49" i="10" s="1"/>
  <c r="E41" i="10"/>
  <c r="K20" i="18" l="1"/>
  <c r="L20" i="18"/>
  <c r="M20" i="18"/>
  <c r="I22" i="9"/>
  <c r="G32" i="9"/>
  <c r="G26" i="9"/>
  <c r="D24" i="8"/>
  <c r="D15" i="8"/>
  <c r="D17" i="8" s="1"/>
  <c r="E37" i="10"/>
  <c r="E22" i="10"/>
  <c r="E14" i="10"/>
  <c r="I32" i="9"/>
  <c r="E26" i="10" l="1"/>
  <c r="D25" i="8"/>
  <c r="D29" i="8" s="1"/>
  <c r="D31" i="8" s="1"/>
  <c r="G9" i="9" s="1"/>
  <c r="G22" i="9" s="1"/>
  <c r="G33" i="9" s="1"/>
  <c r="M12" i="10"/>
  <c r="M14" i="10" s="1"/>
  <c r="I26" i="9" l="1"/>
  <c r="N24" i="8"/>
  <c r="L24" i="8"/>
  <c r="J24" i="8"/>
  <c r="H24" i="8"/>
  <c r="F24" i="8"/>
  <c r="O22" i="10"/>
  <c r="M22" i="10"/>
  <c r="M26" i="10" s="1"/>
  <c r="K22" i="10"/>
  <c r="I22" i="10"/>
  <c r="G22" i="10"/>
  <c r="G14" i="10"/>
  <c r="G26" i="10" l="1"/>
  <c r="H25" i="16"/>
  <c r="J19" i="18"/>
  <c r="Q19" i="18" s="1"/>
  <c r="J18" i="18"/>
  <c r="J10" i="18"/>
  <c r="Q10" i="18" s="1"/>
  <c r="J11" i="18"/>
  <c r="Q11" i="18" s="1"/>
  <c r="J12" i="18"/>
  <c r="Q12" i="18" s="1"/>
  <c r="J13" i="18"/>
  <c r="Q13" i="18" s="1"/>
  <c r="J14" i="18"/>
  <c r="J15" i="18"/>
  <c r="Q15" i="18" s="1"/>
  <c r="J9" i="18"/>
  <c r="Q9" i="18" s="1"/>
  <c r="F26" i="16"/>
  <c r="D26" i="16"/>
  <c r="J24" i="16"/>
  <c r="H23" i="16"/>
  <c r="J23" i="16" s="1"/>
  <c r="P20" i="18"/>
  <c r="I20" i="18"/>
  <c r="D20" i="18"/>
  <c r="F20" i="18"/>
  <c r="J25" i="16" l="1"/>
  <c r="J20" i="18"/>
  <c r="Q18" i="18"/>
  <c r="Q14" i="18"/>
  <c r="H20" i="18"/>
  <c r="G20" i="18"/>
  <c r="N20" i="18" l="1"/>
  <c r="Q20" i="18"/>
  <c r="F15" i="8" l="1"/>
  <c r="F17" i="8" s="1"/>
  <c r="F25" i="8" s="1"/>
  <c r="G37" i="10"/>
  <c r="G41" i="10" s="1"/>
  <c r="G48" i="10"/>
  <c r="F29" i="8" l="1"/>
  <c r="F31" i="8" s="1"/>
  <c r="I9" i="9" s="1"/>
  <c r="G49" i="10"/>
  <c r="K28" i="9"/>
  <c r="O15" i="10"/>
  <c r="O44" i="10"/>
  <c r="H11" i="16"/>
  <c r="J11" i="16" s="1"/>
  <c r="J20" i="16"/>
  <c r="K44" i="10"/>
  <c r="K12" i="10"/>
  <c r="L16" i="8"/>
  <c r="M47" i="10"/>
  <c r="K47" i="10"/>
  <c r="J13" i="16"/>
  <c r="J12" i="16"/>
  <c r="H15" i="16"/>
  <c r="H19" i="16"/>
  <c r="H21" i="16"/>
  <c r="J21" i="16" s="1"/>
  <c r="K25" i="9"/>
  <c r="I33" i="9" l="1"/>
  <c r="K48" i="10"/>
  <c r="H10" i="16"/>
  <c r="O48" i="10"/>
  <c r="J19" i="16"/>
  <c r="H14" i="16" l="1"/>
  <c r="K32" i="9" l="1"/>
  <c r="K26" i="9"/>
  <c r="O14" i="9" l="1"/>
  <c r="M25" i="9"/>
  <c r="M24" i="9" l="1"/>
  <c r="J16" i="8"/>
  <c r="O24" i="9"/>
  <c r="L28" i="8" l="1"/>
  <c r="I30" i="10" l="1"/>
  <c r="Q22" i="9"/>
  <c r="I48" i="10"/>
  <c r="M32" i="9"/>
  <c r="Q32" i="9"/>
  <c r="O26" i="9"/>
  <c r="M26" i="9"/>
  <c r="I36" i="10"/>
  <c r="I34" i="10"/>
  <c r="I14" i="10"/>
  <c r="I26" i="10" s="1"/>
  <c r="K34" i="10"/>
  <c r="K37" i="10" s="1"/>
  <c r="K41" i="10" s="1"/>
  <c r="K13" i="10"/>
  <c r="K14" i="10" s="1"/>
  <c r="K26" i="10" s="1"/>
  <c r="I37" i="10" l="1"/>
  <c r="I41" i="10" s="1"/>
  <c r="I49" i="10" s="1"/>
  <c r="K49" i="10"/>
  <c r="H15" i="8"/>
  <c r="O36" i="10"/>
  <c r="O37" i="10" s="1"/>
  <c r="O41" i="10" s="1"/>
  <c r="M34" i="10"/>
  <c r="J16" i="16"/>
  <c r="J15" i="16"/>
  <c r="H17" i="16"/>
  <c r="H18" i="16" s="1"/>
  <c r="H22" i="16" s="1"/>
  <c r="M48" i="10"/>
  <c r="Q24" i="9"/>
  <c r="Q25" i="9"/>
  <c r="O30" i="9"/>
  <c r="O32" i="9" s="1"/>
  <c r="L15" i="8"/>
  <c r="L17" i="8" s="1"/>
  <c r="N15" i="8"/>
  <c r="N17" i="8" s="1"/>
  <c r="O14" i="10"/>
  <c r="O26" i="10" s="1"/>
  <c r="N25" i="8" l="1"/>
  <c r="N29" i="8" s="1"/>
  <c r="N31" i="8" s="1"/>
  <c r="L25" i="8"/>
  <c r="L29" i="8" s="1"/>
  <c r="L31" i="8" s="1"/>
  <c r="O9" i="9" s="1"/>
  <c r="Q26" i="9"/>
  <c r="Q33" i="9" s="1"/>
  <c r="Q35" i="9" s="1"/>
  <c r="H17" i="8"/>
  <c r="H25" i="8" s="1"/>
  <c r="M37" i="10"/>
  <c r="M41" i="10" s="1"/>
  <c r="M49" i="10" s="1"/>
  <c r="J17" i="16"/>
  <c r="J26" i="16" s="1"/>
  <c r="J30" i="16" s="1"/>
  <c r="O49" i="10"/>
  <c r="D14" i="16"/>
  <c r="D18" i="16" s="1"/>
  <c r="D22" i="16" s="1"/>
  <c r="F14" i="16"/>
  <c r="F18" i="16" s="1"/>
  <c r="F22" i="16" s="1"/>
  <c r="J15" i="8"/>
  <c r="O22" i="9" l="1"/>
  <c r="O33" i="9" s="1"/>
  <c r="O35" i="9" s="1"/>
  <c r="M34" i="9" s="1"/>
  <c r="H29" i="8"/>
  <c r="H31" i="8" s="1"/>
  <c r="K9" i="9" s="1"/>
  <c r="J17" i="8"/>
  <c r="J25" i="8" s="1"/>
  <c r="K22" i="9" l="1"/>
  <c r="K33" i="9" s="1"/>
  <c r="J29" i="8"/>
  <c r="J31" i="8" l="1"/>
  <c r="M9" i="9" s="1"/>
  <c r="M22" i="9" s="1"/>
  <c r="M33" i="9" s="1"/>
  <c r="M35" i="9" s="1"/>
  <c r="K34" i="9" s="1"/>
  <c r="K35" i="9" s="1"/>
  <c r="I34" i="9" l="1"/>
  <c r="I35" i="9" s="1"/>
  <c r="G34" i="9" s="1"/>
  <c r="G35" i="9" s="1"/>
</calcChain>
</file>

<file path=xl/sharedStrings.xml><?xml version="1.0" encoding="utf-8"?>
<sst xmlns="http://schemas.openxmlformats.org/spreadsheetml/2006/main" count="187" uniqueCount="139">
  <si>
    <t>X GOLF AMERICA, INC.</t>
  </si>
  <si>
    <t>Consolidated Financial Statements</t>
  </si>
  <si>
    <t>Balance Sheet (unaudited)</t>
  </si>
  <si>
    <t>Consolidated Balance Sheet</t>
  </si>
  <si>
    <t>Dec. 31, 2024</t>
  </si>
  <si>
    <t>Dec. 31, 2023</t>
  </si>
  <si>
    <t>Dec. 31, 2022</t>
  </si>
  <si>
    <t>Dec. 31, 2021</t>
  </si>
  <si>
    <t>Dec. 31, 2020</t>
  </si>
  <si>
    <t>Assets</t>
  </si>
  <si>
    <t>Current Assets:</t>
  </si>
  <si>
    <t>Cash and equivalents</t>
  </si>
  <si>
    <t>Accounts receivable</t>
  </si>
  <si>
    <t>Inventory</t>
  </si>
  <si>
    <t>Other current assets</t>
  </si>
  <si>
    <t>Total current assets</t>
  </si>
  <si>
    <t>Deferred tax assets</t>
  </si>
  <si>
    <t>Fixed Assets</t>
  </si>
  <si>
    <t>Corporate Fixed Assets</t>
  </si>
  <si>
    <t>Denville</t>
  </si>
  <si>
    <t>Nationals Park</t>
  </si>
  <si>
    <t>Spokane Valley</t>
  </si>
  <si>
    <t>Kennewick</t>
  </si>
  <si>
    <t>Total Fixed Assets</t>
  </si>
  <si>
    <t>Accumulated depreciation and amortization</t>
  </si>
  <si>
    <t>Other assets</t>
  </si>
  <si>
    <t>Total assets</t>
  </si>
  <si>
    <t>Liabilities and Stockholder's Equity</t>
  </si>
  <si>
    <t>Current liabilities</t>
  </si>
  <si>
    <t>Accounts payable</t>
  </si>
  <si>
    <t>Goods invoiced not shipped</t>
  </si>
  <si>
    <t>Customer deposits</t>
  </si>
  <si>
    <t>Deferred revenues (current)</t>
  </si>
  <si>
    <t>Income Tax Payable</t>
  </si>
  <si>
    <t>Notes payable (current)</t>
  </si>
  <si>
    <t>Other current liabilities</t>
  </si>
  <si>
    <t>Total current liabilities</t>
  </si>
  <si>
    <t>Deferred revenues</t>
  </si>
  <si>
    <t>Notes payable</t>
  </si>
  <si>
    <t>Other liabilities</t>
  </si>
  <si>
    <t>Total liabilities</t>
  </si>
  <si>
    <t>Stockholder's equity:</t>
  </si>
  <si>
    <t>Common stock</t>
  </si>
  <si>
    <t>Retained earnings (accumulated deficit)</t>
  </si>
  <si>
    <t>Cumulative Translation Adjustment</t>
  </si>
  <si>
    <t>Dividends Paid</t>
  </si>
  <si>
    <t>Net Income (loss)</t>
  </si>
  <si>
    <t>Total stockholder's equity (deficit)</t>
  </si>
  <si>
    <t>Total liabilities and stockholder's equity (deficit)</t>
  </si>
  <si>
    <t>Statement of Operations (unaudited)</t>
  </si>
  <si>
    <t>Consolidated Income Statement</t>
  </si>
  <si>
    <t>Revenues:</t>
  </si>
  <si>
    <t>Equipment and installation</t>
  </si>
  <si>
    <t>Franchise fees</t>
  </si>
  <si>
    <t>Royalties</t>
  </si>
  <si>
    <t>Marketing fund revenue</t>
  </si>
  <si>
    <t>Net Store Operations</t>
  </si>
  <si>
    <t>Other revenue</t>
  </si>
  <si>
    <t>Total revenue</t>
  </si>
  <si>
    <t>Cost of goods</t>
  </si>
  <si>
    <t>Gross profit (loss)</t>
  </si>
  <si>
    <t>Operating expenses</t>
  </si>
  <si>
    <t>Advertising &amp; Marketing</t>
  </si>
  <si>
    <t>Legal, Professional, Outside Services</t>
  </si>
  <si>
    <t>Payroll</t>
  </si>
  <si>
    <t>Other Operating Expenses</t>
  </si>
  <si>
    <t>Total Operating Expenses</t>
  </si>
  <si>
    <t>EBITDA</t>
  </si>
  <si>
    <t>Depreciation and amortization</t>
  </si>
  <si>
    <t>Other expenses (income)</t>
  </si>
  <si>
    <t>Income (loss) before taxes</t>
  </si>
  <si>
    <t>Income tax expense (benefit)</t>
  </si>
  <si>
    <t>Net income (loss)</t>
  </si>
  <si>
    <t>Statement of Cash Flows (unaudited)</t>
  </si>
  <si>
    <t>Consolidated Statement of Cash Flows</t>
  </si>
  <si>
    <t>CASH FLOWS FROM OPERATING ACTIVITES:</t>
  </si>
  <si>
    <t>Adjustments to reconcile Net Income to Net Cash</t>
  </si>
  <si>
    <t xml:space="preserve">   provided by operations:</t>
  </si>
  <si>
    <t xml:space="preserve">      Accumulated depreciation and amortization</t>
  </si>
  <si>
    <t>Prepaid Expenses and Other Assets</t>
  </si>
  <si>
    <t>Sales Tax payable</t>
  </si>
  <si>
    <t>Accrued liabilities</t>
  </si>
  <si>
    <t>Income tax payable</t>
  </si>
  <si>
    <t>Other cash provided from (used in) operations</t>
  </si>
  <si>
    <t>Net cash provided by operating activities</t>
  </si>
  <si>
    <t>INVESTING ACTIVITIES:</t>
  </si>
  <si>
    <t>Other cash provided from (used in) investing activities</t>
  </si>
  <si>
    <t>Net Cash provided by (used in) investing activities</t>
  </si>
  <si>
    <t>FINANCING ACTIVITIES</t>
  </si>
  <si>
    <t>Retained earnings Adjustment</t>
  </si>
  <si>
    <t>Other cash provided from (used in) financing activities</t>
  </si>
  <si>
    <t>Net Cash provided by (used in) financing activities</t>
  </si>
  <si>
    <t>NET INCREASE (DECREASE) IN CASH</t>
  </si>
  <si>
    <t>Cash at beginning of period</t>
  </si>
  <si>
    <t>Cash at end of period</t>
  </si>
  <si>
    <t>Capital Expenses</t>
  </si>
  <si>
    <t xml:space="preserve">Spend as of </t>
  </si>
  <si>
    <t>Q1 2024</t>
  </si>
  <si>
    <t>Q2 2024</t>
  </si>
  <si>
    <t>Q3 2024</t>
  </si>
  <si>
    <t>Q4 2024</t>
  </si>
  <si>
    <t>2024 YTD</t>
  </si>
  <si>
    <t>Cumalative to Date</t>
  </si>
  <si>
    <t>Total Project</t>
  </si>
  <si>
    <t>Cumulative Spend</t>
  </si>
  <si>
    <t>12/31/2023</t>
  </si>
  <si>
    <t>Actual</t>
  </si>
  <si>
    <t>Budget</t>
  </si>
  <si>
    <t>vs. Budget</t>
  </si>
  <si>
    <t>2024 Board Approved Projects</t>
  </si>
  <si>
    <t>Denville Corporate Venue</t>
  </si>
  <si>
    <t>Company Vehicles (1 New Regional Manager)</t>
  </si>
  <si>
    <t>Simulator Trailer for Activations</t>
  </si>
  <si>
    <t>PCs for new employees</t>
  </si>
  <si>
    <t>Improvements to acquired venues</t>
  </si>
  <si>
    <t>Washington National Corporate Venue</t>
  </si>
  <si>
    <t>Kennewick and Spokane Valley</t>
  </si>
  <si>
    <t>Prior Year Board Approved Projects</t>
  </si>
  <si>
    <t>Mobile Sim</t>
  </si>
  <si>
    <t>Club Caddie POS</t>
  </si>
  <si>
    <t>Total Capital Expenses</t>
  </si>
  <si>
    <t>Statements of Changes in Stockholder's Equity (unaudited)</t>
  </si>
  <si>
    <t>Consolidated Changes in Stockholder's Equity</t>
  </si>
  <si>
    <t>Retained</t>
  </si>
  <si>
    <t>Total Stockholder's equity (deficit)</t>
  </si>
  <si>
    <t>Common Stock</t>
  </si>
  <si>
    <t xml:space="preserve"> earnings</t>
  </si>
  <si>
    <t>Shares</t>
  </si>
  <si>
    <t>Amount</t>
  </si>
  <si>
    <t xml:space="preserve"> (Accumulated deficit)</t>
  </si>
  <si>
    <t>Balance at December 31, 2020</t>
  </si>
  <si>
    <t>Change in Foreign Currency Translation</t>
  </si>
  <si>
    <t>Net Income</t>
  </si>
  <si>
    <t>Balance at December 31, 2021</t>
  </si>
  <si>
    <t>Balance at December 31, 2022</t>
  </si>
  <si>
    <t>Balance at December 31, 2023</t>
  </si>
  <si>
    <t>Balance at December 31, 2024</t>
  </si>
  <si>
    <t>Dec. 31, 2025</t>
  </si>
  <si>
    <t>2025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</si>
</sst>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[$$-409]* #,##0.00_);_([$$-409]* \(#,##0.00\);_([$$-409]* &quot;-&quot;??_);_(@_)"/>
    <numFmt numFmtId="167" formatCode="_([$$-409]* #,##0_);_([$$-409]* \(#,##0\);_([$$-409]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indexed="8"/>
      <name val="Calibri"/>
      <family val="2"/>
      <scheme val="minor"/>
    </font>
    <font>
      <sz val="10"/>
      <color theme="4"/>
      <name val="Times New Roman"/>
      <family val="1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1" applyNumberFormat="1" applyFont="1"/>
    <xf numFmtId="164" fontId="4" fillId="0" borderId="0" xfId="1" applyNumberFormat="1" applyFont="1" applyBorder="1"/>
    <xf numFmtId="164" fontId="4" fillId="0" borderId="0" xfId="1" applyNumberFormat="1" applyFont="1" applyFill="1" applyBorder="1"/>
    <xf numFmtId="164" fontId="4" fillId="0" borderId="0" xfId="1" applyNumberFormat="1" applyFont="1" applyFill="1"/>
    <xf numFmtId="164" fontId="3" fillId="0" borderId="0" xfId="1" applyNumberFormat="1" applyFont="1"/>
    <xf numFmtId="164" fontId="4" fillId="0" borderId="0" xfId="0" applyNumberFormat="1" applyFont="1"/>
    <xf numFmtId="164" fontId="8" fillId="0" borderId="0" xfId="1" applyNumberFormat="1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15" fontId="5" fillId="2" borderId="0" xfId="0" quotePrefix="1" applyNumberFormat="1" applyFont="1" applyFill="1" applyAlignment="1">
      <alignment horizontal="center"/>
    </xf>
    <xf numFmtId="0" fontId="6" fillId="2" borderId="0" xfId="0" applyFont="1" applyFill="1"/>
    <xf numFmtId="164" fontId="4" fillId="2" borderId="0" xfId="1" applyNumberFormat="1" applyFont="1" applyFill="1"/>
    <xf numFmtId="165" fontId="4" fillId="2" borderId="0" xfId="2" applyNumberFormat="1" applyFont="1" applyFill="1"/>
    <xf numFmtId="164" fontId="4" fillId="2" borderId="0" xfId="1" applyNumberFormat="1" applyFont="1" applyFill="1" applyBorder="1"/>
    <xf numFmtId="164" fontId="4" fillId="2" borderId="1" xfId="1" applyNumberFormat="1" applyFont="1" applyFill="1" applyBorder="1"/>
    <xf numFmtId="165" fontId="4" fillId="2" borderId="3" xfId="2" applyNumberFormat="1" applyFont="1" applyFill="1" applyBorder="1"/>
    <xf numFmtId="164" fontId="4" fillId="2" borderId="4" xfId="1" applyNumberFormat="1" applyFont="1" applyFill="1" applyBorder="1"/>
    <xf numFmtId="164" fontId="4" fillId="2" borderId="2" xfId="1" applyNumberFormat="1" applyFont="1" applyFill="1" applyBorder="1"/>
    <xf numFmtId="165" fontId="4" fillId="2" borderId="5" xfId="2" applyNumberFormat="1" applyFont="1" applyFill="1" applyBorder="1"/>
    <xf numFmtId="0" fontId="4" fillId="2" borderId="0" xfId="0" quotePrefix="1" applyFont="1" applyFill="1"/>
    <xf numFmtId="0" fontId="6" fillId="2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15" fontId="5" fillId="2" borderId="0" xfId="0" quotePrefix="1" applyNumberFormat="1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164" fontId="4" fillId="2" borderId="3" xfId="1" applyNumberFormat="1" applyFont="1" applyFill="1" applyBorder="1"/>
    <xf numFmtId="165" fontId="4" fillId="2" borderId="0" xfId="2" applyNumberFormat="1" applyFont="1" applyFill="1" applyBorder="1"/>
    <xf numFmtId="164" fontId="8" fillId="0" borderId="0" xfId="1" applyNumberFormat="1" applyFont="1" applyFill="1" applyBorder="1"/>
    <xf numFmtId="165" fontId="4" fillId="0" borderId="0" xfId="0" applyNumberFormat="1" applyFont="1"/>
    <xf numFmtId="0" fontId="9" fillId="2" borderId="0" xfId="0" applyFont="1" applyFill="1" applyAlignment="1">
      <alignment wrapText="1"/>
    </xf>
    <xf numFmtId="0" fontId="9" fillId="2" borderId="0" xfId="0" applyFont="1" applyFill="1"/>
    <xf numFmtId="0" fontId="10" fillId="2" borderId="0" xfId="0" applyFont="1" applyFill="1"/>
    <xf numFmtId="0" fontId="3" fillId="2" borderId="0" xfId="0" applyFont="1" applyFill="1"/>
    <xf numFmtId="167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164" fontId="4" fillId="2" borderId="0" xfId="0" applyNumberFormat="1" applyFont="1" applyFill="1"/>
    <xf numFmtId="164" fontId="4" fillId="2" borderId="7" xfId="1" applyNumberFormat="1" applyFont="1" applyFill="1" applyBorder="1"/>
    <xf numFmtId="164" fontId="4" fillId="2" borderId="6" xfId="0" applyNumberFormat="1" applyFont="1" applyFill="1" applyBorder="1"/>
    <xf numFmtId="167" fontId="4" fillId="2" borderId="0" xfId="0" applyNumberFormat="1" applyFont="1" applyFill="1"/>
    <xf numFmtId="9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9" fontId="4" fillId="2" borderId="0" xfId="2" applyNumberFormat="1" applyFont="1" applyFill="1" applyBorder="1"/>
    <xf numFmtId="9" fontId="4" fillId="2" borderId="0" xfId="1" applyNumberFormat="1" applyFont="1" applyFill="1" applyBorder="1"/>
    <xf numFmtId="166" fontId="4" fillId="0" borderId="0" xfId="0" applyNumberFormat="1" applyFont="1"/>
    <xf numFmtId="167" fontId="4" fillId="0" borderId="0" xfId="0" applyNumberFormat="1" applyFont="1"/>
    <xf numFmtId="164" fontId="11" fillId="2" borderId="0" xfId="1" applyNumberFormat="1" applyFont="1" applyFill="1"/>
    <xf numFmtId="164" fontId="11" fillId="2" borderId="0" xfId="1" applyNumberFormat="1" applyFont="1" applyFill="1" applyBorder="1"/>
    <xf numFmtId="164" fontId="4" fillId="2" borderId="6" xfId="0" applyNumberFormat="1" applyFont="1" applyFill="1" applyBorder="1" applyAlignment="1">
      <alignment horizontal="right"/>
    </xf>
    <xf numFmtId="165" fontId="4" fillId="2" borderId="0" xfId="0" applyNumberFormat="1" applyFont="1" applyFill="1"/>
    <xf numFmtId="3" fontId="4" fillId="0" borderId="0" xfId="0" applyNumberFormat="1" applyFont="1"/>
    <xf numFmtId="164" fontId="4" fillId="0" borderId="1" xfId="1" applyNumberFormat="1" applyFont="1" applyFill="1" applyBorder="1"/>
    <xf numFmtId="0" fontId="4" fillId="2" borderId="0" xfId="0" applyFont="1" applyFill="1" applyAlignment="1">
      <alignment horizontal="right"/>
    </xf>
    <xf numFmtId="43" fontId="4" fillId="2" borderId="0" xfId="1" applyFont="1" applyFill="1"/>
    <xf numFmtId="43" fontId="3" fillId="2" borderId="0" xfId="1" applyFont="1" applyFill="1"/>
    <xf numFmtId="43" fontId="4" fillId="2" borderId="0" xfId="1" applyFont="1" applyFill="1" applyAlignment="1">
      <alignment horizontal="center"/>
    </xf>
    <xf numFmtId="43" fontId="4" fillId="0" borderId="0" xfId="1" applyFont="1"/>
    <xf numFmtId="43" fontId="6" fillId="0" borderId="0" xfId="1" applyFont="1" applyAlignment="1">
      <alignment horizontal="center" wrapText="1"/>
    </xf>
    <xf numFmtId="15" fontId="6" fillId="2" borderId="0" xfId="0" quotePrefix="1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43" fontId="4" fillId="0" borderId="0" xfId="1" applyFont="1" applyAlignment="1">
      <alignment horizontal="center"/>
    </xf>
    <xf numFmtId="164" fontId="4" fillId="0" borderId="0" xfId="5" applyNumberFormat="1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165" fontId="4" fillId="0" borderId="0" xfId="2" applyNumberFormat="1" applyFont="1" applyFill="1"/>
  </cellXfs>
  <cellStyles count="6">
    <cellStyle name="Comma" xfId="1" builtinId="3"/>
    <cellStyle name="Comma 2" xfId="5" xr:uid="{347EF175-911B-46B4-9042-E8F221F3F4EF}"/>
    <cellStyle name="Currency" xfId="2" builtinId="4"/>
    <cellStyle name="Currency 2" xfId="4" xr:uid="{AD5F59BA-7B38-445D-BA8E-F9E338329DD5}"/>
    <cellStyle name="Normal" xfId="0" builtinId="0"/>
    <cellStyle name="Normal 2" xfId="3" xr:uid="{D6AFA12D-E461-4339-AFEF-64A801297142}"/>
  </cellStyles>
  <dxfs count="0"/>
  <tableStyles count="0" defaultTableStyle="TableStyleMedium2" defaultPivotStyle="PivotStyleLight16"/>
  <colors>
    <mruColors>
      <color rgb="FFFF5050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E043-D9AD-4751-B984-658E9BE66E5B}">
  <sheetPr>
    <tabColor rgb="FF92D050"/>
    <pageSetUpPr fitToPage="1"/>
  </sheetPr>
  <dimension ref="B2:T54"/>
  <sheetViews>
    <sheetView topLeftCell="A21" zoomScale="130" zoomScaleNormal="130" workbookViewId="0">
      <selection activeCell="D44" sqref="D44"/>
    </sheetView>
  </sheetViews>
  <sheetFormatPr defaultColWidth="8.85546875" defaultRowHeight="12.75" customHeight="1" x14ac:dyDescent="0.2"/>
  <cols>
    <col min="1" max="1" width="2.7109375" style="10" customWidth="1"/>
    <col min="2" max="2" width="3.7109375" style="10" customWidth="1"/>
    <col min="3" max="3" width="11.42578125" style="10" customWidth="1"/>
    <col min="4" max="4" width="31.85546875" style="10" customWidth="1"/>
    <col min="5" max="5" width="18.140625" style="10" customWidth="1"/>
    <col min="6" max="6" width="3.140625" style="10" customWidth="1"/>
    <col min="7" max="7" width="12.140625" style="10" bestFit="1" customWidth="1"/>
    <col min="8" max="8" width="2" style="10" customWidth="1"/>
    <col min="9" max="9" width="15.140625" style="10" customWidth="1"/>
    <col min="10" max="10" width="3.140625" style="10" customWidth="1"/>
    <col min="11" max="11" width="12" style="10" customWidth="1"/>
    <col min="12" max="12" width="2.7109375" style="10" customWidth="1"/>
    <col min="13" max="13" width="12" style="10" customWidth="1"/>
    <col min="14" max="14" width="2.7109375" style="10" customWidth="1"/>
    <col min="15" max="15" width="12" style="10" customWidth="1"/>
    <col min="16" max="16" width="8.85546875" style="10"/>
    <col min="17" max="17" width="13.28515625" style="57" bestFit="1" customWidth="1"/>
    <col min="18" max="18" width="11.85546875" style="57" bestFit="1" customWidth="1"/>
    <col min="19" max="16384" width="8.85546875" style="10"/>
  </cols>
  <sheetData>
    <row r="2" spans="2:20" s="35" customFormat="1" ht="15" x14ac:dyDescent="0.25">
      <c r="B2" s="67" t="s">
        <v>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Q2" s="58"/>
      <c r="R2" s="58"/>
    </row>
    <row r="3" spans="2:20" x14ac:dyDescent="0.2">
      <c r="B3" s="68" t="s">
        <v>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</row>
    <row r="4" spans="2:20" x14ac:dyDescent="0.2">
      <c r="B4" s="68" t="s">
        <v>2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</row>
    <row r="5" spans="2:20" x14ac:dyDescent="0.2">
      <c r="B5" s="11"/>
      <c r="C5" s="11"/>
      <c r="D5" s="11"/>
      <c r="E5" s="11"/>
      <c r="F5" s="11"/>
      <c r="G5" s="11"/>
      <c r="H5" s="11"/>
      <c r="I5" s="11"/>
      <c r="J5" s="11"/>
      <c r="K5" s="11"/>
      <c r="M5" s="11"/>
      <c r="O5" s="11"/>
    </row>
    <row r="7" spans="2:20" s="11" customFormat="1" x14ac:dyDescent="0.2">
      <c r="B7" s="12" t="s">
        <v>3</v>
      </c>
      <c r="E7" s="13" t="s">
        <v>137</v>
      </c>
      <c r="G7" s="13" t="s">
        <v>4</v>
      </c>
      <c r="I7" s="13" t="s">
        <v>5</v>
      </c>
      <c r="J7" s="13"/>
      <c r="K7" s="13" t="s">
        <v>6</v>
      </c>
      <c r="M7" s="13" t="s">
        <v>7</v>
      </c>
      <c r="O7" s="13" t="s">
        <v>8</v>
      </c>
      <c r="Q7" s="59"/>
      <c r="R7" s="59"/>
    </row>
    <row r="8" spans="2:20" x14ac:dyDescent="0.2">
      <c r="C8" s="14" t="s">
        <v>9</v>
      </c>
    </row>
    <row r="9" spans="2:20" x14ac:dyDescent="0.2">
      <c r="B9" s="10" t="s">
        <v>10</v>
      </c>
      <c r="K9" s="15"/>
      <c r="M9" s="15"/>
      <c r="O9" s="15"/>
    </row>
    <row r="10" spans="2:20" x14ac:dyDescent="0.2">
      <c r="C10" s="10" t="s">
        <v>11</v>
      </c>
      <c r="E10" s="36">
        <v>4134995.09</v>
      </c>
      <c r="G10" s="36">
        <v>4088509.36</v>
      </c>
      <c r="I10" s="36">
        <v>6038305</v>
      </c>
      <c r="J10" s="36"/>
      <c r="K10" s="16">
        <v>4116912</v>
      </c>
      <c r="M10" s="16">
        <v>3189773</v>
      </c>
      <c r="O10" s="16">
        <v>667575</v>
      </c>
    </row>
    <row r="11" spans="2:20" x14ac:dyDescent="0.2">
      <c r="C11" s="10" t="s">
        <v>12</v>
      </c>
      <c r="E11" s="37">
        <v>1456226.44</v>
      </c>
      <c r="G11" s="37">
        <v>1352017.11</v>
      </c>
      <c r="I11" s="37">
        <v>1720021</v>
      </c>
      <c r="J11" s="37"/>
      <c r="K11" s="17">
        <v>714005</v>
      </c>
      <c r="M11" s="5">
        <v>1428090</v>
      </c>
      <c r="O11" s="17">
        <v>1180778</v>
      </c>
    </row>
    <row r="12" spans="2:20" x14ac:dyDescent="0.2">
      <c r="C12" s="10" t="s">
        <v>13</v>
      </c>
      <c r="E12" s="37">
        <v>4269120.1000000006</v>
      </c>
      <c r="G12" s="37">
        <v>6116857.0199999996</v>
      </c>
      <c r="I12" s="37">
        <v>5075900</v>
      </c>
      <c r="J12" s="37"/>
      <c r="K12" s="17">
        <f>3940301+46703+733290</f>
        <v>4720294</v>
      </c>
      <c r="M12" s="17">
        <f>2859267+733290</f>
        <v>3592557</v>
      </c>
      <c r="O12" s="5">
        <v>1151111</v>
      </c>
      <c r="T12" s="53"/>
    </row>
    <row r="13" spans="2:20" x14ac:dyDescent="0.2">
      <c r="C13" s="10" t="s">
        <v>14</v>
      </c>
      <c r="E13" s="38">
        <v>362496.47000000003</v>
      </c>
      <c r="G13" s="38">
        <v>348903.3</v>
      </c>
      <c r="I13" s="38">
        <v>180325</v>
      </c>
      <c r="J13" s="37"/>
      <c r="K13" s="18">
        <f>39862+44152+21000</f>
        <v>105014</v>
      </c>
      <c r="M13" s="18">
        <v>85969</v>
      </c>
      <c r="O13" s="18">
        <v>43229.5</v>
      </c>
    </row>
    <row r="14" spans="2:20" x14ac:dyDescent="0.2">
      <c r="D14" s="10" t="s">
        <v>15</v>
      </c>
      <c r="E14" s="15">
        <f>SUM(E10:E13)</f>
        <v>10222838.1</v>
      </c>
      <c r="G14" s="15">
        <f>SUM(G10:G13)</f>
        <v>11906286.789999999</v>
      </c>
      <c r="I14" s="15">
        <f>SUM(I10:I13)</f>
        <v>13014551</v>
      </c>
      <c r="J14" s="15"/>
      <c r="K14" s="15">
        <f>SUM(K10:K13)</f>
        <v>9656225</v>
      </c>
      <c r="M14" s="15">
        <f>SUM(M10:M13)</f>
        <v>8296389</v>
      </c>
      <c r="O14" s="15">
        <f>SUM(O10:O13)</f>
        <v>3042693.5</v>
      </c>
    </row>
    <row r="15" spans="2:20" x14ac:dyDescent="0.2">
      <c r="B15" s="10" t="s">
        <v>16</v>
      </c>
      <c r="E15" s="37">
        <v>970121</v>
      </c>
      <c r="G15" s="37">
        <v>970120.65</v>
      </c>
      <c r="I15" s="37">
        <v>133204</v>
      </c>
      <c r="J15" s="11"/>
      <c r="K15" s="17">
        <v>0</v>
      </c>
      <c r="M15" s="17">
        <v>200839</v>
      </c>
      <c r="O15" s="17">
        <f>182813+45953.5</f>
        <v>228766.5</v>
      </c>
    </row>
    <row r="16" spans="2:20" x14ac:dyDescent="0.2">
      <c r="B16" s="10" t="s">
        <v>17</v>
      </c>
      <c r="E16" s="37"/>
      <c r="G16" s="37"/>
      <c r="I16" s="37"/>
      <c r="J16" s="11"/>
      <c r="K16" s="17"/>
      <c r="M16" s="17"/>
      <c r="O16" s="17"/>
    </row>
    <row r="17" spans="2:15" x14ac:dyDescent="0.2">
      <c r="C17" s="10" t="s">
        <v>18</v>
      </c>
      <c r="E17" s="37">
        <v>3661697.2700000005</v>
      </c>
      <c r="G17" s="37">
        <v>4049094.2700000005</v>
      </c>
      <c r="I17" s="37">
        <v>3314316.129999999</v>
      </c>
      <c r="J17" s="11"/>
      <c r="K17" s="17">
        <v>2189343</v>
      </c>
      <c r="M17" s="17">
        <v>1421657</v>
      </c>
      <c r="O17" s="17">
        <v>896644</v>
      </c>
    </row>
    <row r="18" spans="2:15" x14ac:dyDescent="0.2">
      <c r="C18" s="10" t="s">
        <v>19</v>
      </c>
      <c r="E18" s="37">
        <v>1490822.1099999999</v>
      </c>
      <c r="G18" s="37">
        <v>1478736.44</v>
      </c>
      <c r="I18" s="37">
        <v>1131938.8699999999</v>
      </c>
      <c r="J18" s="11"/>
      <c r="K18" s="17">
        <v>0</v>
      </c>
      <c r="M18" s="17">
        <v>0</v>
      </c>
      <c r="O18" s="17">
        <v>0</v>
      </c>
    </row>
    <row r="19" spans="2:15" x14ac:dyDescent="0.2">
      <c r="C19" s="10" t="s">
        <v>20</v>
      </c>
      <c r="E19" s="37">
        <v>1178451.3999999999</v>
      </c>
      <c r="G19" s="37">
        <v>1153121.05</v>
      </c>
      <c r="I19" s="37">
        <v>0</v>
      </c>
      <c r="J19" s="11"/>
      <c r="K19" s="17">
        <v>0</v>
      </c>
      <c r="M19" s="17">
        <v>0</v>
      </c>
      <c r="O19" s="17">
        <v>0</v>
      </c>
    </row>
    <row r="20" spans="2:15" x14ac:dyDescent="0.2">
      <c r="C20" s="10" t="s">
        <v>21</v>
      </c>
      <c r="E20" s="37">
        <v>301213.09999999998</v>
      </c>
      <c r="G20" s="37">
        <v>0</v>
      </c>
      <c r="I20" s="37">
        <v>0</v>
      </c>
      <c r="J20" s="11"/>
      <c r="K20" s="17">
        <v>0</v>
      </c>
      <c r="M20" s="17">
        <v>0</v>
      </c>
      <c r="O20" s="17">
        <v>0</v>
      </c>
    </row>
    <row r="21" spans="2:15" x14ac:dyDescent="0.2">
      <c r="C21" s="10" t="s">
        <v>22</v>
      </c>
      <c r="E21" s="38">
        <v>299954.65000000002</v>
      </c>
      <c r="G21" s="38">
        <v>0</v>
      </c>
      <c r="I21" s="38">
        <v>0</v>
      </c>
      <c r="J21" s="37"/>
      <c r="K21" s="18">
        <v>0</v>
      </c>
      <c r="M21" s="18">
        <v>0</v>
      </c>
      <c r="O21" s="18">
        <v>0</v>
      </c>
    </row>
    <row r="22" spans="2:15" x14ac:dyDescent="0.2">
      <c r="D22" s="10" t="s">
        <v>23</v>
      </c>
      <c r="E22" s="15">
        <f>SUM(E17:E21)</f>
        <v>6932138.5300000012</v>
      </c>
      <c r="G22" s="15">
        <f>SUM(G17:G21)</f>
        <v>6680951.7600000007</v>
      </c>
      <c r="I22" s="15">
        <f>SUM(I17:I21)</f>
        <v>4446254.9999999991</v>
      </c>
      <c r="J22" s="15"/>
      <c r="K22" s="15">
        <f>SUM(K17:K21)</f>
        <v>2189343</v>
      </c>
      <c r="M22" s="15">
        <f>SUM(M17:M21)</f>
        <v>1421657</v>
      </c>
      <c r="O22" s="15">
        <f>SUM(O17:O21)</f>
        <v>896644</v>
      </c>
    </row>
    <row r="23" spans="2:15" x14ac:dyDescent="0.2">
      <c r="E23" s="15"/>
      <c r="G23" s="15"/>
      <c r="I23" s="15"/>
      <c r="J23" s="15"/>
      <c r="K23" s="15"/>
      <c r="M23" s="15"/>
      <c r="O23" s="15"/>
    </row>
    <row r="24" spans="2:15" x14ac:dyDescent="0.2">
      <c r="B24" s="10" t="s">
        <v>24</v>
      </c>
      <c r="E24" s="37">
        <v>-3099453.17</v>
      </c>
      <c r="G24" s="37">
        <v>-1640787.96</v>
      </c>
      <c r="I24" s="37">
        <v>-940381</v>
      </c>
      <c r="J24" s="11"/>
      <c r="K24" s="17">
        <v>-538545</v>
      </c>
      <c r="M24" s="17">
        <v>-357861</v>
      </c>
      <c r="O24" s="17">
        <v>-309915</v>
      </c>
    </row>
    <row r="25" spans="2:15" x14ac:dyDescent="0.2">
      <c r="B25" s="10" t="s">
        <v>25</v>
      </c>
      <c r="E25" s="37">
        <v>7508461.8799999999</v>
      </c>
      <c r="G25" s="37">
        <v>7588405.29</v>
      </c>
      <c r="I25" s="37">
        <v>1745618</v>
      </c>
      <c r="J25" s="11"/>
      <c r="K25" s="18">
        <v>489935</v>
      </c>
      <c r="M25" s="55">
        <v>523433</v>
      </c>
      <c r="O25" s="55">
        <v>376818</v>
      </c>
    </row>
    <row r="26" spans="2:15" ht="13.5" thickBot="1" x14ac:dyDescent="0.25">
      <c r="D26" s="10" t="s">
        <v>26</v>
      </c>
      <c r="E26" s="19">
        <f>E14+E15+E22+E24+E25</f>
        <v>22534106.340000004</v>
      </c>
      <c r="G26" s="19">
        <f>G14+G15+G22+G24+G25</f>
        <v>25504976.529999997</v>
      </c>
      <c r="I26" s="19">
        <f>I14+I15+I22+I24+I25</f>
        <v>18399247</v>
      </c>
      <c r="J26" s="11"/>
      <c r="K26" s="19">
        <f>K14+K15+K22+K24+K25</f>
        <v>11796958</v>
      </c>
      <c r="M26" s="19">
        <f>M14+M15+M22+M24+M25</f>
        <v>10084457</v>
      </c>
      <c r="O26" s="19">
        <f>O14+O15+O22+O24+O25</f>
        <v>4235007</v>
      </c>
    </row>
    <row r="27" spans="2:15" ht="13.5" thickTop="1" x14ac:dyDescent="0.2">
      <c r="E27" s="11"/>
      <c r="G27" s="11"/>
      <c r="I27" s="11"/>
      <c r="J27" s="11"/>
      <c r="K27" s="15"/>
      <c r="M27" s="15"/>
      <c r="O27" s="15"/>
    </row>
    <row r="28" spans="2:15" x14ac:dyDescent="0.2">
      <c r="C28" s="14" t="s">
        <v>27</v>
      </c>
      <c r="E28" s="11"/>
      <c r="G28" s="11"/>
      <c r="I28" s="11"/>
      <c r="J28" s="11"/>
      <c r="K28" s="15"/>
      <c r="M28" s="15"/>
      <c r="O28" s="15"/>
    </row>
    <row r="29" spans="2:15" x14ac:dyDescent="0.2">
      <c r="B29" s="10" t="s">
        <v>28</v>
      </c>
      <c r="E29" s="11"/>
      <c r="G29" s="11"/>
      <c r="I29" s="11"/>
      <c r="J29" s="11"/>
      <c r="K29" s="15"/>
      <c r="M29" s="15"/>
      <c r="O29" s="15"/>
    </row>
    <row r="30" spans="2:15" x14ac:dyDescent="0.2">
      <c r="C30" s="10" t="s">
        <v>29</v>
      </c>
      <c r="E30" s="36">
        <v>1376917.3900000001</v>
      </c>
      <c r="G30" s="36">
        <v>2642356.16</v>
      </c>
      <c r="I30" s="36">
        <f>1543899</f>
        <v>1543899</v>
      </c>
      <c r="J30" s="11"/>
      <c r="K30" s="16">
        <v>1569455</v>
      </c>
      <c r="M30" s="16">
        <v>1053321</v>
      </c>
      <c r="O30" s="16">
        <v>1267134</v>
      </c>
    </row>
    <row r="31" spans="2:15" x14ac:dyDescent="0.2">
      <c r="C31" s="10" t="s">
        <v>30</v>
      </c>
      <c r="E31" s="37">
        <v>4472</v>
      </c>
      <c r="G31" s="37">
        <v>1028450</v>
      </c>
      <c r="I31" s="37">
        <v>3003550</v>
      </c>
      <c r="J31" s="11"/>
      <c r="K31" s="15">
        <v>690867</v>
      </c>
      <c r="M31" s="15">
        <v>1439563</v>
      </c>
      <c r="O31" s="15">
        <v>0</v>
      </c>
    </row>
    <row r="32" spans="2:15" x14ac:dyDescent="0.2">
      <c r="C32" s="10" t="s">
        <v>31</v>
      </c>
      <c r="E32" s="37">
        <v>606027.27</v>
      </c>
      <c r="G32" s="37">
        <v>411461.18</v>
      </c>
      <c r="I32" s="37">
        <v>372190</v>
      </c>
      <c r="J32" s="11"/>
      <c r="K32" s="15">
        <v>1553207</v>
      </c>
      <c r="M32" s="15">
        <v>2211853</v>
      </c>
      <c r="O32" s="15">
        <v>0</v>
      </c>
    </row>
    <row r="33" spans="2:15" x14ac:dyDescent="0.2">
      <c r="C33" s="10" t="s">
        <v>32</v>
      </c>
      <c r="E33" s="37">
        <v>253662.75</v>
      </c>
      <c r="G33" s="37">
        <v>522576.68</v>
      </c>
      <c r="I33" s="37">
        <v>637749</v>
      </c>
      <c r="J33" s="11"/>
      <c r="K33" s="15">
        <v>566880</v>
      </c>
      <c r="M33" s="15">
        <v>395359</v>
      </c>
      <c r="O33" s="15">
        <v>164303.5</v>
      </c>
    </row>
    <row r="34" spans="2:15" x14ac:dyDescent="0.2">
      <c r="C34" s="10" t="s">
        <v>33</v>
      </c>
      <c r="E34" s="37">
        <v>0</v>
      </c>
      <c r="G34" s="37">
        <v>585269.51</v>
      </c>
      <c r="I34" s="37">
        <f>1236639+191540</f>
        <v>1428179</v>
      </c>
      <c r="J34" s="11"/>
      <c r="K34" s="15">
        <f>419792+73026</f>
        <v>492818</v>
      </c>
      <c r="M34" s="15">
        <f>294922+55748</f>
        <v>350670</v>
      </c>
      <c r="O34" s="15">
        <v>159823</v>
      </c>
    </row>
    <row r="35" spans="2:15" x14ac:dyDescent="0.2">
      <c r="C35" s="10" t="s">
        <v>34</v>
      </c>
      <c r="E35" s="37">
        <v>0</v>
      </c>
      <c r="G35" s="37">
        <v>0</v>
      </c>
      <c r="I35" s="37">
        <v>4146</v>
      </c>
      <c r="J35" s="11"/>
      <c r="K35" s="15">
        <v>4320</v>
      </c>
      <c r="M35" s="15">
        <v>754320</v>
      </c>
      <c r="O35" s="15">
        <v>0</v>
      </c>
    </row>
    <row r="36" spans="2:15" x14ac:dyDescent="0.2">
      <c r="C36" s="10" t="s">
        <v>35</v>
      </c>
      <c r="E36" s="38">
        <v>3843484.8200000003</v>
      </c>
      <c r="G36" s="38">
        <v>3707661.6300000008</v>
      </c>
      <c r="I36" s="38">
        <f>228829+305946+2774+273156+230377+314924</f>
        <v>1356006</v>
      </c>
      <c r="J36" s="11"/>
      <c r="K36" s="18">
        <v>525147</v>
      </c>
      <c r="L36" s="15"/>
      <c r="M36" s="55">
        <v>374590</v>
      </c>
      <c r="N36" s="15"/>
      <c r="O36" s="18">
        <f>539111.5-159823</f>
        <v>379288.5</v>
      </c>
    </row>
    <row r="37" spans="2:15" x14ac:dyDescent="0.2">
      <c r="D37" s="10" t="s">
        <v>36</v>
      </c>
      <c r="E37" s="15">
        <f>SUM(E30:E36)</f>
        <v>6084564.2300000004</v>
      </c>
      <c r="G37" s="15">
        <f>SUM(G30:G36)</f>
        <v>8897775.1600000001</v>
      </c>
      <c r="I37" s="15">
        <f>SUM(I30:I36)</f>
        <v>8345719</v>
      </c>
      <c r="J37" s="11"/>
      <c r="K37" s="15">
        <f>SUM(K30:K36)</f>
        <v>5402694</v>
      </c>
      <c r="M37" s="15">
        <f>SUM(M30:M36)</f>
        <v>6579676</v>
      </c>
      <c r="O37" s="15">
        <f>SUM(O30:O36)</f>
        <v>1970549</v>
      </c>
    </row>
    <row r="38" spans="2:15" x14ac:dyDescent="0.2">
      <c r="B38" s="10" t="s">
        <v>37</v>
      </c>
      <c r="E38" s="37">
        <v>1580507.91</v>
      </c>
      <c r="G38" s="37">
        <v>1705596.39</v>
      </c>
      <c r="I38" s="37">
        <v>1760043</v>
      </c>
      <c r="J38" s="11"/>
      <c r="K38" s="15">
        <v>1554562</v>
      </c>
      <c r="M38" s="6">
        <v>1180375</v>
      </c>
      <c r="O38" s="15">
        <v>488984</v>
      </c>
    </row>
    <row r="39" spans="2:15" x14ac:dyDescent="0.2">
      <c r="B39" s="10" t="s">
        <v>38</v>
      </c>
      <c r="E39" s="37">
        <v>0</v>
      </c>
      <c r="G39" s="37">
        <v>0</v>
      </c>
      <c r="I39" s="37">
        <v>1426</v>
      </c>
      <c r="J39" s="11"/>
      <c r="K39" s="15">
        <v>15255</v>
      </c>
      <c r="M39" s="15">
        <v>19714</v>
      </c>
      <c r="O39" s="15">
        <v>985000</v>
      </c>
    </row>
    <row r="40" spans="2:15" x14ac:dyDescent="0.2">
      <c r="B40" s="10" t="s">
        <v>39</v>
      </c>
      <c r="E40" s="37">
        <v>5271998.8499999996</v>
      </c>
      <c r="G40" s="37">
        <v>5839527.7999999998</v>
      </c>
      <c r="I40" s="37">
        <v>539369</v>
      </c>
      <c r="J40" s="11"/>
      <c r="K40" s="15">
        <v>5571</v>
      </c>
      <c r="M40" s="15">
        <v>47588</v>
      </c>
      <c r="O40" s="15">
        <v>117951.5</v>
      </c>
    </row>
    <row r="41" spans="2:15" x14ac:dyDescent="0.2">
      <c r="D41" s="10" t="s">
        <v>40</v>
      </c>
      <c r="E41" s="20">
        <f>SUM(E37:E40)</f>
        <v>12937070.99</v>
      </c>
      <c r="G41" s="20">
        <f>SUM(G37:G40)</f>
        <v>16442899.350000001</v>
      </c>
      <c r="I41" s="20">
        <f>SUM(I37:I40)</f>
        <v>10646557</v>
      </c>
      <c r="J41" s="11"/>
      <c r="K41" s="20">
        <f>SUM(K37:K40)</f>
        <v>6978082</v>
      </c>
      <c r="M41" s="20">
        <f>SUM(M37:M40)</f>
        <v>7827353</v>
      </c>
      <c r="O41" s="20">
        <f>SUM(O37:O40)</f>
        <v>3562484.5</v>
      </c>
    </row>
    <row r="42" spans="2:15" x14ac:dyDescent="0.2">
      <c r="B42" s="10" t="s">
        <v>41</v>
      </c>
      <c r="E42" s="11"/>
      <c r="G42" s="11"/>
      <c r="I42" s="11"/>
      <c r="J42" s="11"/>
      <c r="K42" s="15"/>
      <c r="M42" s="15"/>
      <c r="O42" s="15"/>
    </row>
    <row r="43" spans="2:15" x14ac:dyDescent="0.2">
      <c r="C43" s="10" t="s">
        <v>42</v>
      </c>
      <c r="E43" s="37">
        <v>3000000</v>
      </c>
      <c r="G43" s="37">
        <v>3000000</v>
      </c>
      <c r="I43" s="37">
        <v>3000000</v>
      </c>
      <c r="J43" s="11"/>
      <c r="K43" s="15">
        <v>3000000</v>
      </c>
      <c r="M43" s="15">
        <v>3000000</v>
      </c>
      <c r="O43" s="15">
        <v>3000000</v>
      </c>
    </row>
    <row r="44" spans="2:15" x14ac:dyDescent="0.2">
      <c r="C44" s="10" t="s">
        <v>43</v>
      </c>
      <c r="E44" s="37">
        <v>6062778.1200000001</v>
      </c>
      <c r="G44" s="37">
        <v>4752645.28</v>
      </c>
      <c r="I44" s="37">
        <v>1818782</v>
      </c>
      <c r="J44" s="11"/>
      <c r="K44" s="17">
        <f>-1476176+733290</f>
        <v>-742886</v>
      </c>
      <c r="M44" s="5">
        <v>-2327478</v>
      </c>
      <c r="O44" s="5">
        <f>-2874760+45953.5</f>
        <v>-2828806.5</v>
      </c>
    </row>
    <row r="45" spans="2:15" x14ac:dyDescent="0.2">
      <c r="C45" s="10" t="s">
        <v>44</v>
      </c>
      <c r="E45" s="37">
        <v>-373.27</v>
      </c>
      <c r="G45" s="37">
        <v>-700.94</v>
      </c>
      <c r="I45" s="37">
        <v>45</v>
      </c>
      <c r="J45" s="11"/>
      <c r="K45" s="17">
        <v>95</v>
      </c>
      <c r="M45" s="17">
        <v>-11</v>
      </c>
      <c r="O45" s="17">
        <v>0</v>
      </c>
    </row>
    <row r="46" spans="2:15" x14ac:dyDescent="0.2">
      <c r="C46" s="10" t="s">
        <v>45</v>
      </c>
      <c r="E46" s="37">
        <v>0</v>
      </c>
      <c r="G46" s="37">
        <v>0</v>
      </c>
      <c r="I46" s="37">
        <v>-1000000</v>
      </c>
      <c r="J46" s="11"/>
      <c r="K46" s="17">
        <v>-500000</v>
      </c>
      <c r="M46" s="17">
        <v>0</v>
      </c>
      <c r="O46" s="17">
        <v>0</v>
      </c>
    </row>
    <row r="47" spans="2:15" x14ac:dyDescent="0.2">
      <c r="C47" s="10" t="s">
        <v>46</v>
      </c>
      <c r="E47" s="37">
        <v>534630.15</v>
      </c>
      <c r="G47" s="37">
        <v>1310132.8400000001</v>
      </c>
      <c r="I47" s="37">
        <v>3933863</v>
      </c>
      <c r="J47" s="11"/>
      <c r="K47" s="55">
        <f>3014964+46703</f>
        <v>3061667</v>
      </c>
      <c r="M47" s="55">
        <f>851303+733290</f>
        <v>1584593</v>
      </c>
      <c r="O47" s="55">
        <v>501329</v>
      </c>
    </row>
    <row r="48" spans="2:15" x14ac:dyDescent="0.2">
      <c r="D48" s="10" t="s">
        <v>47</v>
      </c>
      <c r="E48" s="40">
        <f>+E43+E44+E45+E46+E47</f>
        <v>9597035.0000000019</v>
      </c>
      <c r="G48" s="40">
        <f>+G43+G44+G45+G46+G47</f>
        <v>9062077.1799999997</v>
      </c>
      <c r="I48" s="40">
        <f>+I43+I44+I45+I46+I47</f>
        <v>7752690</v>
      </c>
      <c r="J48" s="11"/>
      <c r="K48" s="15">
        <f>+K43+K44+K45+K46+K47</f>
        <v>4818876</v>
      </c>
      <c r="M48" s="15">
        <f>+M43+M44+M45-M46+M47</f>
        <v>2257104</v>
      </c>
      <c r="O48" s="15">
        <f>+O43+O44+O45-O46+O47</f>
        <v>672522.5</v>
      </c>
    </row>
    <row r="49" spans="3:18" ht="13.5" thickBot="1" x14ac:dyDescent="0.25">
      <c r="C49" s="10" t="s">
        <v>48</v>
      </c>
      <c r="E49" s="19">
        <f>+E48+E41</f>
        <v>22534105.990000002</v>
      </c>
      <c r="G49" s="19">
        <f>+G48+G41</f>
        <v>25504976.530000001</v>
      </c>
      <c r="I49" s="19">
        <f>+I48+I41</f>
        <v>18399247</v>
      </c>
      <c r="J49" s="11"/>
      <c r="K49" s="19">
        <f>+K48+K41</f>
        <v>11796958</v>
      </c>
      <c r="M49" s="19">
        <f>+M48+M41</f>
        <v>10084457</v>
      </c>
      <c r="O49" s="19">
        <f>+O48+O41</f>
        <v>4235007</v>
      </c>
    </row>
    <row r="50" spans="3:18" ht="13.5" thickTop="1" x14ac:dyDescent="0.2"/>
    <row r="51" spans="3:18" s="15" customFormat="1" x14ac:dyDescent="0.2">
      <c r="Q51" s="57"/>
      <c r="R51" s="57"/>
    </row>
    <row r="52" spans="3:18" x14ac:dyDescent="0.2">
      <c r="K52" s="15"/>
      <c r="M52" s="15"/>
      <c r="O52" s="15"/>
    </row>
    <row r="53" spans="3:18" x14ac:dyDescent="0.2">
      <c r="I53" s="39"/>
      <c r="J53" s="39"/>
      <c r="K53" s="39"/>
      <c r="L53" s="39"/>
      <c r="M53" s="39"/>
      <c r="N53" s="39"/>
      <c r="O53" s="39"/>
    </row>
    <row r="54" spans="3:18" ht="12.75" customHeight="1" x14ac:dyDescent="0.2">
      <c r="M54" s="39"/>
      <c r="O54" s="39"/>
    </row>
  </sheetData>
  <mergeCells count="3">
    <mergeCell ref="B2:O2"/>
    <mergeCell ref="B3:O3"/>
    <mergeCell ref="B4:O4"/>
  </mergeCells>
  <pageMargins left="0.5" right="0.5" top="0.75" bottom="0.75" header="0.3" footer="0.3"/>
  <pageSetup scale="65" orientation="landscape" r:id="rId1"/>
  <headerFooter>
    <oddFooter>&amp;CThis document is strictly private, confidential and personal to its recipients and should not be passed to any third party without the prior written consent of X Golf America, Inc.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C581-329B-4A2B-AE52-DE5F16E52505}">
  <sheetPr>
    <tabColor rgb="FF92D050"/>
    <pageSetUpPr fitToPage="1"/>
  </sheetPr>
  <dimension ref="A1:N48"/>
  <sheetViews>
    <sheetView zoomScaleNormal="100" workbookViewId="0">
      <selection activeCell="D13" sqref="D13"/>
    </sheetView>
  </sheetViews>
  <sheetFormatPr defaultColWidth="8.85546875" defaultRowHeight="12.75" customHeight="1" x14ac:dyDescent="0.2"/>
  <cols>
    <col min="1" max="1" width="3.7109375" style="2" customWidth="1"/>
    <col min="2" max="2" width="22.5703125" style="2" customWidth="1"/>
    <col min="3" max="3" width="8.85546875" style="2" customWidth="1"/>
    <col min="4" max="4" width="11.85546875" style="2" customWidth="1"/>
    <col min="5" max="5" width="3.140625" style="2" customWidth="1"/>
    <col min="6" max="6" width="11.7109375" style="2" bestFit="1" customWidth="1"/>
    <col min="7" max="7" width="2.42578125" style="2" customWidth="1"/>
    <col min="8" max="8" width="13.85546875" style="2" customWidth="1"/>
    <col min="9" max="9" width="1.85546875" style="2" customWidth="1"/>
    <col min="10" max="10" width="11.85546875" style="2" customWidth="1"/>
    <col min="11" max="11" width="3.28515625" style="2" customWidth="1"/>
    <col min="12" max="12" width="11.85546875" style="2" customWidth="1"/>
    <col min="13" max="13" width="3.28515625" style="2" customWidth="1"/>
    <col min="14" max="14" width="11.85546875" style="2" customWidth="1"/>
    <col min="15" max="16384" width="8.85546875" style="2"/>
  </cols>
  <sheetData>
    <row r="1" spans="1:14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s="1" customFormat="1" ht="15" x14ac:dyDescent="0.25">
      <c r="A2" s="67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3" spans="1:14" x14ac:dyDescent="0.2">
      <c r="A3" s="68" t="s">
        <v>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</row>
    <row r="4" spans="1:14" x14ac:dyDescent="0.2">
      <c r="A4" s="68" t="s">
        <v>49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1:14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">
      <c r="A7" s="14" t="s">
        <v>50</v>
      </c>
      <c r="B7" s="10"/>
      <c r="C7" s="10"/>
      <c r="D7" s="13" t="s">
        <v>137</v>
      </c>
      <c r="E7" s="10"/>
      <c r="F7" s="13" t="s">
        <v>4</v>
      </c>
      <c r="G7" s="10"/>
      <c r="H7" s="13" t="s">
        <v>5</v>
      </c>
      <c r="I7" s="13"/>
      <c r="J7" s="13" t="s">
        <v>6</v>
      </c>
      <c r="K7" s="13"/>
      <c r="L7" s="13" t="s">
        <v>7</v>
      </c>
      <c r="M7" s="13"/>
      <c r="N7" s="13" t="s">
        <v>8</v>
      </c>
    </row>
    <row r="8" spans="1:14" x14ac:dyDescent="0.2">
      <c r="A8" s="10" t="s">
        <v>51</v>
      </c>
      <c r="B8" s="10"/>
      <c r="C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">
      <c r="A9" s="10"/>
      <c r="B9" s="10" t="s">
        <v>52</v>
      </c>
      <c r="C9" s="10"/>
      <c r="D9" s="42">
        <v>5505254.6500000004</v>
      </c>
      <c r="E9" s="10"/>
      <c r="F9" s="42">
        <v>11235230.68</v>
      </c>
      <c r="G9" s="10"/>
      <c r="H9" s="42">
        <v>17406298.360000003</v>
      </c>
      <c r="I9" s="46"/>
      <c r="J9" s="16">
        <v>13806632.07</v>
      </c>
      <c r="K9" s="46"/>
      <c r="L9" s="16">
        <v>7574521</v>
      </c>
      <c r="M9" s="46"/>
      <c r="N9" s="16">
        <v>4273426.5</v>
      </c>
    </row>
    <row r="10" spans="1:14" x14ac:dyDescent="0.2">
      <c r="A10" s="10"/>
      <c r="B10" s="10" t="s">
        <v>53</v>
      </c>
      <c r="C10" s="10"/>
      <c r="D10" s="39">
        <v>489002.40999999992</v>
      </c>
      <c r="E10" s="10"/>
      <c r="F10" s="39">
        <v>569808.23</v>
      </c>
      <c r="G10" s="10"/>
      <c r="H10" s="39">
        <v>415296.46</v>
      </c>
      <c r="I10" s="46"/>
      <c r="J10" s="15">
        <v>331292.12</v>
      </c>
      <c r="K10" s="46"/>
      <c r="L10" s="15">
        <v>285804</v>
      </c>
      <c r="M10" s="46"/>
      <c r="N10" s="15">
        <v>90473</v>
      </c>
    </row>
    <row r="11" spans="1:14" x14ac:dyDescent="0.2">
      <c r="A11" s="10"/>
      <c r="B11" s="10" t="s">
        <v>54</v>
      </c>
      <c r="C11" s="10"/>
      <c r="D11" s="39">
        <v>6304702.96</v>
      </c>
      <c r="E11" s="10"/>
      <c r="F11" s="39">
        <v>4839052.42</v>
      </c>
      <c r="G11" s="10"/>
      <c r="H11" s="39">
        <v>3746289.3</v>
      </c>
      <c r="I11" s="46"/>
      <c r="J11" s="15">
        <v>2393325.2599999998</v>
      </c>
      <c r="K11" s="46"/>
      <c r="L11" s="15">
        <v>1126124</v>
      </c>
      <c r="M11" s="46"/>
      <c r="N11" s="15">
        <v>484009</v>
      </c>
    </row>
    <row r="12" spans="1:14" x14ac:dyDescent="0.2">
      <c r="A12" s="10"/>
      <c r="B12" s="10" t="s">
        <v>55</v>
      </c>
      <c r="C12" s="10"/>
      <c r="D12" s="39">
        <v>1000811.85</v>
      </c>
      <c r="E12" s="10"/>
      <c r="F12" s="39">
        <v>771462.39</v>
      </c>
      <c r="G12" s="10"/>
      <c r="H12" s="39">
        <v>610059</v>
      </c>
      <c r="I12" s="46"/>
      <c r="J12" s="15">
        <v>397390.08000000002</v>
      </c>
      <c r="K12" s="46"/>
      <c r="L12" s="15">
        <v>189372</v>
      </c>
      <c r="M12" s="46"/>
      <c r="N12" s="15">
        <v>0</v>
      </c>
    </row>
    <row r="13" spans="1:14" x14ac:dyDescent="0.2">
      <c r="A13" s="10"/>
      <c r="B13" s="10" t="s">
        <v>56</v>
      </c>
      <c r="C13" s="10"/>
      <c r="D13" s="39">
        <v>-959383.53999999957</v>
      </c>
      <c r="E13" s="10"/>
      <c r="F13" s="39">
        <v>-396189.39000000013</v>
      </c>
      <c r="G13" s="10"/>
      <c r="H13" s="39">
        <v>-35232.58</v>
      </c>
      <c r="I13" s="46"/>
      <c r="J13" s="15">
        <v>0</v>
      </c>
      <c r="K13" s="46"/>
      <c r="L13" s="15">
        <v>0</v>
      </c>
      <c r="M13" s="46"/>
      <c r="N13" s="15">
        <v>0</v>
      </c>
    </row>
    <row r="14" spans="1:14" x14ac:dyDescent="0.2">
      <c r="A14" s="10"/>
      <c r="B14" s="10" t="s">
        <v>57</v>
      </c>
      <c r="C14" s="10"/>
      <c r="D14" s="41">
        <v>693171.3600000001</v>
      </c>
      <c r="E14" s="10"/>
      <c r="F14" s="41">
        <v>523772.72</v>
      </c>
      <c r="G14" s="10"/>
      <c r="H14" s="41">
        <v>257851.80000000002</v>
      </c>
      <c r="I14" s="46"/>
      <c r="J14" s="18">
        <v>99095.58</v>
      </c>
      <c r="K14" s="46"/>
      <c r="L14" s="18">
        <v>789618.4</v>
      </c>
      <c r="M14" s="46"/>
      <c r="N14" s="18">
        <v>309639.5</v>
      </c>
    </row>
    <row r="15" spans="1:14" x14ac:dyDescent="0.2">
      <c r="A15" s="10"/>
      <c r="B15" s="10"/>
      <c r="C15" s="56" t="s">
        <v>58</v>
      </c>
      <c r="D15" s="15">
        <f>SUM(D9:D14)</f>
        <v>13033559.689999999</v>
      </c>
      <c r="E15" s="56"/>
      <c r="F15" s="15">
        <f>SUM(F9:F14)</f>
        <v>17543137.049999997</v>
      </c>
      <c r="G15" s="56"/>
      <c r="H15" s="15">
        <f>SUM(H9:H14)</f>
        <v>22400562.340000007</v>
      </c>
      <c r="I15" s="46"/>
      <c r="J15" s="15">
        <f t="shared" ref="J15" si="0">SUM(J9:J14)</f>
        <v>17027735.109999996</v>
      </c>
      <c r="K15" s="46"/>
      <c r="L15" s="15">
        <f t="shared" ref="L15" si="1">SUM(L9:L14)</f>
        <v>9965439.4000000004</v>
      </c>
      <c r="M15" s="46"/>
      <c r="N15" s="15">
        <f t="shared" ref="N15" si="2">SUM(N9:N14)</f>
        <v>5157548</v>
      </c>
    </row>
    <row r="16" spans="1:14" x14ac:dyDescent="0.2">
      <c r="A16" s="10" t="s">
        <v>59</v>
      </c>
      <c r="B16" s="10"/>
      <c r="C16" s="56"/>
      <c r="D16" s="52">
        <v>4451706.09</v>
      </c>
      <c r="E16" s="56"/>
      <c r="F16" s="52">
        <v>8179505.75</v>
      </c>
      <c r="G16" s="56"/>
      <c r="H16" s="52">
        <v>11547572</v>
      </c>
      <c r="I16" s="47"/>
      <c r="J16" s="18">
        <f>9395180-46703</f>
        <v>9348477</v>
      </c>
      <c r="K16" s="47"/>
      <c r="L16" s="18">
        <f>6352384-733290</f>
        <v>5619094</v>
      </c>
      <c r="M16" s="47"/>
      <c r="N16" s="18">
        <v>2793484.76</v>
      </c>
    </row>
    <row r="17" spans="1:14" x14ac:dyDescent="0.2">
      <c r="A17" s="10"/>
      <c r="B17" s="10"/>
      <c r="C17" s="56" t="s">
        <v>60</v>
      </c>
      <c r="D17" s="17">
        <f>D15-D16</f>
        <v>8581853.5999999996</v>
      </c>
      <c r="E17" s="56"/>
      <c r="F17" s="17">
        <f>F15-F16</f>
        <v>9363631.299999997</v>
      </c>
      <c r="G17" s="56"/>
      <c r="H17" s="17">
        <f>H15-H16</f>
        <v>10852990.340000007</v>
      </c>
      <c r="I17" s="47"/>
      <c r="J17" s="17">
        <f>J15-J16</f>
        <v>7679258.1099999957</v>
      </c>
      <c r="K17" s="47"/>
      <c r="L17" s="17">
        <f>L15-L16</f>
        <v>4346345.4000000004</v>
      </c>
      <c r="M17" s="47"/>
      <c r="N17" s="17">
        <f t="shared" ref="N17" si="3">N15-N16</f>
        <v>2364063.2400000002</v>
      </c>
    </row>
    <row r="18" spans="1:14" x14ac:dyDescent="0.2">
      <c r="A18" s="10"/>
      <c r="B18" s="10"/>
      <c r="C18" s="56"/>
      <c r="D18" s="17"/>
      <c r="E18" s="56"/>
      <c r="F18" s="17"/>
      <c r="G18" s="56"/>
      <c r="H18" s="17"/>
      <c r="I18" s="47"/>
      <c r="J18" s="17"/>
      <c r="K18" s="47"/>
      <c r="L18" s="17"/>
      <c r="M18" s="47"/>
      <c r="N18" s="17"/>
    </row>
    <row r="19" spans="1:14" x14ac:dyDescent="0.2">
      <c r="A19" s="10" t="s">
        <v>61</v>
      </c>
      <c r="B19" s="10"/>
      <c r="C19" s="10"/>
      <c r="D19" s="17"/>
      <c r="E19" s="10"/>
      <c r="F19" s="17"/>
      <c r="G19" s="56"/>
      <c r="H19" s="17"/>
      <c r="I19" s="47"/>
      <c r="J19" s="17"/>
      <c r="K19" s="47"/>
      <c r="L19" s="17"/>
      <c r="M19" s="47"/>
      <c r="N19" s="17"/>
    </row>
    <row r="20" spans="1:14" x14ac:dyDescent="0.2">
      <c r="A20" s="10"/>
      <c r="B20" s="10" t="s">
        <v>62</v>
      </c>
      <c r="C20" s="10"/>
      <c r="D20" s="17">
        <v>733404.2300000001</v>
      </c>
      <c r="E20" s="10"/>
      <c r="F20" s="17">
        <v>1326784.7200000002</v>
      </c>
      <c r="G20" s="56"/>
      <c r="H20" s="17">
        <v>1168243.5299999998</v>
      </c>
      <c r="I20" s="47"/>
      <c r="J20" s="17">
        <v>578124.19999999995</v>
      </c>
      <c r="K20" s="47"/>
      <c r="L20" s="17">
        <v>254544.77</v>
      </c>
      <c r="M20" s="47"/>
      <c r="N20" s="17">
        <v>343208.31</v>
      </c>
    </row>
    <row r="21" spans="1:14" x14ac:dyDescent="0.2">
      <c r="A21" s="10"/>
      <c r="B21" s="10" t="s">
        <v>63</v>
      </c>
      <c r="C21" s="10"/>
      <c r="D21" s="17">
        <v>1526419.5499999998</v>
      </c>
      <c r="E21" s="10"/>
      <c r="F21" s="17">
        <v>1067961.3599999999</v>
      </c>
      <c r="G21" s="56"/>
      <c r="H21" s="17">
        <v>475154.78</v>
      </c>
      <c r="I21" s="47"/>
      <c r="J21" s="17">
        <v>285344.24</v>
      </c>
      <c r="K21" s="47"/>
      <c r="L21" s="17">
        <v>157215.64000000001</v>
      </c>
      <c r="M21" s="47"/>
      <c r="N21" s="17">
        <v>72485.039999999994</v>
      </c>
    </row>
    <row r="22" spans="1:14" x14ac:dyDescent="0.2">
      <c r="A22" s="10"/>
      <c r="B22" s="10" t="s">
        <v>64</v>
      </c>
      <c r="C22" s="10"/>
      <c r="D22" s="17">
        <v>3291765.67</v>
      </c>
      <c r="E22" s="10"/>
      <c r="F22" s="17">
        <v>3687639.59</v>
      </c>
      <c r="G22" s="56"/>
      <c r="H22" s="17">
        <v>3383828.45</v>
      </c>
      <c r="I22" s="47"/>
      <c r="J22" s="17">
        <v>2299524.4</v>
      </c>
      <c r="K22" s="47"/>
      <c r="L22" s="17">
        <v>1450530.1800000002</v>
      </c>
      <c r="M22" s="47"/>
      <c r="N22" s="17">
        <v>921677.68</v>
      </c>
    </row>
    <row r="23" spans="1:14" x14ac:dyDescent="0.2">
      <c r="A23" s="10"/>
      <c r="B23" s="10" t="s">
        <v>65</v>
      </c>
      <c r="C23" s="10"/>
      <c r="D23" s="41">
        <v>1451069.12</v>
      </c>
      <c r="E23" s="10"/>
      <c r="F23" s="41">
        <v>1361981.12</v>
      </c>
      <c r="G23" s="56"/>
      <c r="H23" s="41">
        <v>922825.93</v>
      </c>
      <c r="I23" s="47"/>
      <c r="J23" s="41">
        <v>785521.78</v>
      </c>
      <c r="K23" s="47"/>
      <c r="L23" s="41">
        <v>608191.37</v>
      </c>
      <c r="M23" s="47"/>
      <c r="N23" s="41">
        <v>340609.26999999996</v>
      </c>
    </row>
    <row r="24" spans="1:14" x14ac:dyDescent="0.2">
      <c r="A24" s="10"/>
      <c r="B24" s="10"/>
      <c r="C24" s="56" t="s">
        <v>66</v>
      </c>
      <c r="D24" s="41">
        <f>SUM(D20:D23)</f>
        <v>7002658.5699999994</v>
      </c>
      <c r="E24" s="56"/>
      <c r="F24" s="41">
        <f>SUM(F20:F23)</f>
        <v>7444366.79</v>
      </c>
      <c r="G24" s="56"/>
      <c r="H24" s="41">
        <f>SUM(H20:H23)</f>
        <v>5950052.6899999995</v>
      </c>
      <c r="I24" s="56"/>
      <c r="J24" s="41">
        <f>SUM(J20:J23)</f>
        <v>3948514.62</v>
      </c>
      <c r="K24" s="56"/>
      <c r="L24" s="41">
        <f>SUM(L20:L23)</f>
        <v>2470481.9600000004</v>
      </c>
      <c r="M24" s="56"/>
      <c r="N24" s="41">
        <f>SUM(N20:N23)</f>
        <v>1677980.3</v>
      </c>
    </row>
    <row r="25" spans="1:14" x14ac:dyDescent="0.2">
      <c r="A25" s="10"/>
      <c r="B25" s="10"/>
      <c r="C25" s="56" t="s">
        <v>67</v>
      </c>
      <c r="D25" s="15">
        <f>+D17-D24</f>
        <v>1579195.0300000003</v>
      </c>
      <c r="E25" s="56"/>
      <c r="F25" s="15">
        <f>+F17-F24</f>
        <v>1919264.509999997</v>
      </c>
      <c r="G25" s="56"/>
      <c r="H25" s="15">
        <f>+H17-H24</f>
        <v>4902937.6500000078</v>
      </c>
      <c r="I25" s="56"/>
      <c r="J25" s="15">
        <f>+J17-J24</f>
        <v>3730743.4899999956</v>
      </c>
      <c r="K25" s="56"/>
      <c r="L25" s="15">
        <f>+L17-L24</f>
        <v>1875863.44</v>
      </c>
      <c r="M25" s="56"/>
      <c r="N25" s="15">
        <f>+N17-N24</f>
        <v>686082.94000000018</v>
      </c>
    </row>
    <row r="26" spans="1:14" x14ac:dyDescent="0.2">
      <c r="A26" s="10"/>
      <c r="B26" s="10"/>
      <c r="C26" s="56"/>
      <c r="D26" s="17"/>
      <c r="E26" s="56"/>
      <c r="F26" s="17"/>
      <c r="G26" s="56"/>
      <c r="H26" s="17"/>
      <c r="I26" s="47"/>
      <c r="J26" s="17"/>
      <c r="K26" s="47"/>
      <c r="L26" s="17"/>
      <c r="M26" s="47"/>
      <c r="N26" s="17"/>
    </row>
    <row r="27" spans="1:14" x14ac:dyDescent="0.2">
      <c r="A27" s="10" t="s">
        <v>68</v>
      </c>
      <c r="B27" s="10"/>
      <c r="C27" s="56"/>
      <c r="D27" s="39">
        <v>674966.51</v>
      </c>
      <c r="E27" s="56"/>
      <c r="F27" s="39">
        <v>846785.08</v>
      </c>
      <c r="G27" s="56"/>
      <c r="H27" s="39">
        <v>401837</v>
      </c>
      <c r="I27" s="10"/>
      <c r="J27" s="17">
        <v>180684</v>
      </c>
      <c r="K27" s="17"/>
      <c r="L27" s="17">
        <v>159961</v>
      </c>
      <c r="M27" s="17"/>
      <c r="N27" s="17">
        <v>32870.400000000001</v>
      </c>
    </row>
    <row r="28" spans="1:14" x14ac:dyDescent="0.2">
      <c r="A28" s="10" t="s">
        <v>69</v>
      </c>
      <c r="B28" s="10"/>
      <c r="C28" s="56"/>
      <c r="D28" s="41">
        <v>73614.14</v>
      </c>
      <c r="E28" s="56"/>
      <c r="F28" s="41">
        <v>46915.47</v>
      </c>
      <c r="G28" s="56"/>
      <c r="H28" s="41">
        <v>-278447</v>
      </c>
      <c r="I28" s="10"/>
      <c r="J28" s="18">
        <v>22994</v>
      </c>
      <c r="K28" s="17"/>
      <c r="L28" s="18">
        <f>-378+56337-125175-506</f>
        <v>-69722</v>
      </c>
      <c r="M28" s="17"/>
      <c r="N28" s="18">
        <v>-52995.200000000004</v>
      </c>
    </row>
    <row r="29" spans="1:14" x14ac:dyDescent="0.2">
      <c r="A29" s="10"/>
      <c r="B29" s="10"/>
      <c r="C29" s="56" t="s">
        <v>70</v>
      </c>
      <c r="D29" s="17">
        <f>D25-D27-D28</f>
        <v>830614.38000000024</v>
      </c>
      <c r="E29" s="56"/>
      <c r="F29" s="17">
        <f>F25-F27-F28</f>
        <v>1025563.9599999969</v>
      </c>
      <c r="G29" s="56"/>
      <c r="H29" s="17">
        <f>H25-H27-H28</f>
        <v>4779547.6500000078</v>
      </c>
      <c r="I29" s="10"/>
      <c r="J29" s="17">
        <f t="shared" ref="J29" si="4">J25-J27-J28</f>
        <v>3527065.4899999956</v>
      </c>
      <c r="K29" s="17"/>
      <c r="L29" s="17">
        <f t="shared" ref="L29" si="5">L25-L27-L28</f>
        <v>1785624.44</v>
      </c>
      <c r="M29" s="17"/>
      <c r="N29" s="17">
        <f t="shared" ref="N29" si="6">N25-N27-N28</f>
        <v>706207.74000000011</v>
      </c>
    </row>
    <row r="30" spans="1:14" x14ac:dyDescent="0.2">
      <c r="A30" s="10" t="s">
        <v>71</v>
      </c>
      <c r="B30" s="10"/>
      <c r="C30" s="56"/>
      <c r="D30" s="41">
        <v>295984.62</v>
      </c>
      <c r="E30" s="56"/>
      <c r="F30" s="41">
        <v>-284568.88</v>
      </c>
      <c r="G30" s="56"/>
      <c r="H30" s="41">
        <v>845685</v>
      </c>
      <c r="I30" s="10"/>
      <c r="J30" s="18">
        <v>465398</v>
      </c>
      <c r="K30" s="17"/>
      <c r="L30" s="18">
        <v>201031</v>
      </c>
      <c r="M30" s="17"/>
      <c r="N30" s="18">
        <v>204879</v>
      </c>
    </row>
    <row r="31" spans="1:14" ht="13.5" thickBot="1" x14ac:dyDescent="0.25">
      <c r="A31" s="10"/>
      <c r="B31" s="10"/>
      <c r="C31" s="56" t="s">
        <v>72</v>
      </c>
      <c r="D31" s="22">
        <f>D29-D30</f>
        <v>534629.76000000024</v>
      </c>
      <c r="E31" s="56"/>
      <c r="F31" s="22">
        <f>F29-F30</f>
        <v>1310132.8399999971</v>
      </c>
      <c r="G31" s="56"/>
      <c r="H31" s="22">
        <f>H29-H30</f>
        <v>3933862.6500000078</v>
      </c>
      <c r="I31" s="10"/>
      <c r="J31" s="22">
        <f>J29-J30</f>
        <v>3061667.4899999956</v>
      </c>
      <c r="K31" s="29"/>
      <c r="L31" s="22">
        <f t="shared" ref="L31" si="7">L29-L30</f>
        <v>1584593.44</v>
      </c>
      <c r="M31" s="29"/>
      <c r="N31" s="22">
        <f t="shared" ref="N31" si="8">N29-N30</f>
        <v>501328.74000000011</v>
      </c>
    </row>
    <row r="32" spans="1:14" ht="13.5" thickTop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2:14" x14ac:dyDescent="0.2">
      <c r="J33" s="9"/>
      <c r="K33" s="30"/>
      <c r="L33" s="9"/>
      <c r="M33" s="30"/>
      <c r="N33" s="9"/>
    </row>
    <row r="34" spans="2:14" x14ac:dyDescent="0.2">
      <c r="J34" s="9"/>
      <c r="K34" s="30"/>
      <c r="L34" s="9"/>
      <c r="M34" s="30"/>
      <c r="N34" s="9"/>
    </row>
    <row r="35" spans="2:14" x14ac:dyDescent="0.2">
      <c r="C35" s="44"/>
      <c r="D35" s="44"/>
      <c r="E35" s="44"/>
      <c r="F35" s="44"/>
      <c r="G35" s="44"/>
      <c r="J35" s="3"/>
      <c r="K35" s="4"/>
      <c r="L35" s="3"/>
      <c r="M35" s="4"/>
      <c r="N35" s="3"/>
    </row>
    <row r="36" spans="2:14" ht="12.75" customHeight="1" x14ac:dyDescent="0.2">
      <c r="B36" s="45"/>
      <c r="C36" s="43"/>
      <c r="D36" s="43"/>
      <c r="E36" s="43"/>
      <c r="F36" s="43"/>
      <c r="G36" s="43"/>
      <c r="L36" s="31"/>
    </row>
    <row r="37" spans="2:14" ht="12.75" customHeight="1" x14ac:dyDescent="0.2">
      <c r="B37" s="45"/>
      <c r="C37" s="43"/>
      <c r="D37" s="43"/>
      <c r="E37" s="43"/>
      <c r="F37" s="64"/>
      <c r="G37" s="43"/>
    </row>
    <row r="38" spans="2:14" ht="12.75" customHeight="1" x14ac:dyDescent="0.2">
      <c r="B38" s="45"/>
      <c r="C38" s="43"/>
      <c r="D38" s="43"/>
      <c r="E38" s="43"/>
      <c r="F38" s="43"/>
      <c r="G38" s="43"/>
    </row>
    <row r="39" spans="2:14" ht="12.75" customHeight="1" x14ac:dyDescent="0.2">
      <c r="L39" s="31"/>
    </row>
    <row r="44" spans="2:14" ht="12.75" customHeight="1" x14ac:dyDescent="0.2">
      <c r="C44" s="44"/>
      <c r="D44" s="44"/>
      <c r="E44" s="44"/>
      <c r="F44" s="44"/>
      <c r="G44" s="44"/>
    </row>
    <row r="45" spans="2:14" ht="12.75" customHeight="1" x14ac:dyDescent="0.2">
      <c r="B45" s="45"/>
      <c r="C45" s="49"/>
      <c r="D45" s="49"/>
      <c r="E45" s="49"/>
      <c r="F45" s="49"/>
      <c r="G45" s="49"/>
    </row>
    <row r="46" spans="2:14" ht="12.75" customHeight="1" x14ac:dyDescent="0.2">
      <c r="B46" s="45"/>
      <c r="C46" s="49"/>
      <c r="D46" s="49"/>
      <c r="E46" s="49"/>
      <c r="F46" s="49"/>
      <c r="G46" s="49"/>
    </row>
    <row r="47" spans="2:14" ht="12.75" customHeight="1" x14ac:dyDescent="0.2">
      <c r="B47" s="45"/>
      <c r="C47" s="49"/>
      <c r="D47" s="49"/>
      <c r="E47" s="49"/>
      <c r="F47" s="49"/>
      <c r="G47" s="49"/>
    </row>
    <row r="48" spans="2:14" ht="12.75" customHeight="1" x14ac:dyDescent="0.2">
      <c r="B48" s="45"/>
      <c r="C48" s="48"/>
      <c r="D48" s="48"/>
      <c r="E48" s="48"/>
      <c r="F48" s="48"/>
      <c r="G48" s="48"/>
    </row>
  </sheetData>
  <mergeCells count="3">
    <mergeCell ref="A2:N2"/>
    <mergeCell ref="A3:N3"/>
    <mergeCell ref="A4:N4"/>
  </mergeCells>
  <pageMargins left="0.5" right="0.5" top="0.75" bottom="0.75" header="0.3" footer="0.3"/>
  <pageSetup orientation="landscape" r:id="rId1"/>
  <headerFooter>
    <oddFooter>&amp;CThis document is strictly private, confidential and personal to its recipients and should not be passed to any third party without the prior written consent of X Golf America, Inc.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71E9-4C59-4ED9-A51C-A251F229F999}">
  <sheetPr>
    <tabColor rgb="FF92D050"/>
    <pageSetUpPr fitToPage="1"/>
  </sheetPr>
  <dimension ref="A1:U58"/>
  <sheetViews>
    <sheetView workbookViewId="0">
      <selection activeCell="G37" sqref="G37"/>
    </sheetView>
  </sheetViews>
  <sheetFormatPr defaultColWidth="8.85546875" defaultRowHeight="12.75" customHeight="1" x14ac:dyDescent="0.2"/>
  <cols>
    <col min="1" max="3" width="2.7109375" style="2" customWidth="1"/>
    <col min="4" max="4" width="18.140625" style="2" customWidth="1"/>
    <col min="5" max="5" width="18.85546875" style="2" customWidth="1"/>
    <col min="6" max="7" width="16" style="2" customWidth="1"/>
    <col min="8" max="8" width="3.85546875" style="2" customWidth="1"/>
    <col min="9" max="9" width="16" style="2" customWidth="1"/>
    <col min="10" max="10" width="4" style="2" customWidth="1"/>
    <col min="11" max="11" width="16.85546875" style="2" customWidth="1"/>
    <col min="12" max="12" width="3.5703125" style="2" customWidth="1"/>
    <col min="13" max="13" width="11.7109375" style="2" customWidth="1"/>
    <col min="14" max="14" width="1.7109375" style="2" customWidth="1"/>
    <col min="15" max="15" width="11.7109375" style="2" customWidth="1"/>
    <col min="16" max="16" width="1.7109375" style="2" customWidth="1"/>
    <col min="17" max="17" width="11.7109375" style="2" customWidth="1"/>
    <col min="18" max="18" width="9.85546875" style="2" bestFit="1" customWidth="1"/>
    <col min="19" max="16384" width="8.85546875" style="2"/>
  </cols>
  <sheetData>
    <row r="1" spans="1:17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s="1" customFormat="1" ht="15" x14ac:dyDescent="0.25">
      <c r="A2" s="35"/>
      <c r="B2" s="67" t="s">
        <v>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</row>
    <row r="3" spans="1:17" x14ac:dyDescent="0.2">
      <c r="A3" s="10"/>
      <c r="B3" s="68" t="s">
        <v>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4" spans="1:17" x14ac:dyDescent="0.2">
      <c r="A4" s="10"/>
      <c r="B4" s="68" t="s">
        <v>73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</row>
    <row r="5" spans="1:17" x14ac:dyDescent="0.2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2">
      <c r="A7" s="10"/>
      <c r="B7" s="14" t="s">
        <v>74</v>
      </c>
      <c r="C7" s="10"/>
      <c r="D7" s="10"/>
      <c r="E7" s="10"/>
      <c r="F7" s="10"/>
      <c r="G7" s="13" t="s">
        <v>137</v>
      </c>
      <c r="H7" s="10"/>
      <c r="I7" s="13" t="s">
        <v>4</v>
      </c>
      <c r="J7" s="10"/>
      <c r="K7" s="13" t="s">
        <v>5</v>
      </c>
      <c r="L7" s="10"/>
      <c r="M7" s="13" t="s">
        <v>6</v>
      </c>
      <c r="N7" s="13"/>
      <c r="O7" s="13" t="s">
        <v>7</v>
      </c>
      <c r="P7" s="13"/>
      <c r="Q7" s="13" t="s">
        <v>8</v>
      </c>
    </row>
    <row r="8" spans="1:17" x14ac:dyDescent="0.2">
      <c r="A8" s="10"/>
      <c r="B8" s="10" t="s">
        <v>75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5"/>
      <c r="N8" s="17"/>
      <c r="O8" s="15"/>
      <c r="P8" s="17"/>
      <c r="Q8" s="15"/>
    </row>
    <row r="9" spans="1:17" x14ac:dyDescent="0.2">
      <c r="A9" s="10"/>
      <c r="B9" s="10"/>
      <c r="C9" s="10" t="s">
        <v>72</v>
      </c>
      <c r="D9" s="10"/>
      <c r="E9" s="10"/>
      <c r="F9" s="10"/>
      <c r="G9" s="42">
        <f>'Income Statement'!D31</f>
        <v>534629.76000000024</v>
      </c>
      <c r="H9" s="10"/>
      <c r="I9" s="42">
        <f>'Income Statement'!F31</f>
        <v>1310132.8399999971</v>
      </c>
      <c r="J9" s="10"/>
      <c r="K9" s="42">
        <f>'Income Statement'!H31</f>
        <v>3933862.6500000078</v>
      </c>
      <c r="L9" s="10"/>
      <c r="M9" s="16">
        <f>'Income Statement'!J31</f>
        <v>3061667.4899999956</v>
      </c>
      <c r="N9" s="29"/>
      <c r="O9" s="16">
        <f>'Income Statement'!L31</f>
        <v>1584593.44</v>
      </c>
      <c r="P9" s="29"/>
      <c r="Q9" s="16">
        <v>489006</v>
      </c>
    </row>
    <row r="10" spans="1:17" x14ac:dyDescent="0.2">
      <c r="A10" s="10"/>
      <c r="B10" s="10"/>
      <c r="C10" s="10" t="s">
        <v>76</v>
      </c>
      <c r="D10" s="10"/>
      <c r="E10" s="10"/>
      <c r="F10" s="10"/>
      <c r="G10" s="10"/>
      <c r="H10" s="10"/>
      <c r="I10" s="10"/>
      <c r="J10" s="10"/>
      <c r="K10" s="10"/>
      <c r="L10" s="10"/>
      <c r="M10" s="16"/>
      <c r="N10" s="29"/>
      <c r="O10" s="16"/>
      <c r="P10" s="29"/>
      <c r="Q10" s="16"/>
    </row>
    <row r="11" spans="1:17" x14ac:dyDescent="0.2">
      <c r="A11" s="10"/>
      <c r="B11" s="10"/>
      <c r="C11" s="23" t="s">
        <v>77</v>
      </c>
      <c r="D11" s="10"/>
      <c r="E11" s="10"/>
      <c r="F11" s="10"/>
      <c r="G11" s="10"/>
      <c r="H11" s="10"/>
      <c r="I11" s="10"/>
      <c r="J11" s="10"/>
      <c r="K11" s="10"/>
      <c r="L11" s="10"/>
      <c r="M11" s="16"/>
      <c r="N11" s="29"/>
      <c r="O11" s="16"/>
      <c r="P11" s="29"/>
      <c r="Q11" s="16"/>
    </row>
    <row r="12" spans="1:17" x14ac:dyDescent="0.2">
      <c r="A12" s="10"/>
      <c r="B12" s="10"/>
      <c r="C12" s="10" t="s">
        <v>78</v>
      </c>
      <c r="D12" s="10"/>
      <c r="E12" s="10"/>
      <c r="F12" s="10"/>
      <c r="G12" s="39">
        <v>1458665</v>
      </c>
      <c r="H12" s="10"/>
      <c r="I12" s="39">
        <v>700407</v>
      </c>
      <c r="J12" s="10"/>
      <c r="K12" s="39">
        <v>401836</v>
      </c>
      <c r="L12" s="10"/>
      <c r="M12" s="15">
        <v>117163</v>
      </c>
      <c r="N12" s="17"/>
      <c r="O12" s="15">
        <v>47945.4</v>
      </c>
      <c r="P12" s="17"/>
      <c r="Q12" s="15">
        <v>5884</v>
      </c>
    </row>
    <row r="13" spans="1:17" x14ac:dyDescent="0.2">
      <c r="A13" s="10"/>
      <c r="B13" s="10"/>
      <c r="C13" s="10"/>
      <c r="D13" s="10" t="s">
        <v>12</v>
      </c>
      <c r="E13" s="10"/>
      <c r="F13" s="10"/>
      <c r="G13" s="39">
        <v>-104209</v>
      </c>
      <c r="H13" s="10"/>
      <c r="I13" s="39">
        <v>368004</v>
      </c>
      <c r="J13" s="10"/>
      <c r="K13" s="39">
        <v>-1006015</v>
      </c>
      <c r="L13" s="10"/>
      <c r="M13" s="15">
        <v>714084</v>
      </c>
      <c r="N13" s="17"/>
      <c r="O13" s="15">
        <v>-257312</v>
      </c>
      <c r="P13" s="17"/>
      <c r="Q13" s="15">
        <v>-347697</v>
      </c>
    </row>
    <row r="14" spans="1:17" x14ac:dyDescent="0.2">
      <c r="A14" s="10"/>
      <c r="B14" s="10"/>
      <c r="C14" s="10"/>
      <c r="D14" s="10" t="s">
        <v>13</v>
      </c>
      <c r="E14" s="10"/>
      <c r="F14" s="10"/>
      <c r="G14" s="39">
        <v>1847737</v>
      </c>
      <c r="H14" s="10"/>
      <c r="I14" s="39">
        <v>-1040957</v>
      </c>
      <c r="J14" s="10"/>
      <c r="K14" s="39">
        <v>-355608</v>
      </c>
      <c r="L14" s="10"/>
      <c r="M14" s="15">
        <v>-1127737.3400000001</v>
      </c>
      <c r="N14" s="17"/>
      <c r="O14" s="15">
        <f>-2338156-733290</f>
        <v>-3071446</v>
      </c>
      <c r="P14" s="17"/>
      <c r="Q14" s="15">
        <v>-383218</v>
      </c>
    </row>
    <row r="15" spans="1:17" x14ac:dyDescent="0.2">
      <c r="A15" s="10"/>
      <c r="B15" s="10"/>
      <c r="C15" s="10"/>
      <c r="D15" s="10" t="s">
        <v>79</v>
      </c>
      <c r="E15" s="10"/>
      <c r="F15" s="10"/>
      <c r="G15" s="39">
        <v>66678</v>
      </c>
      <c r="H15" s="10"/>
      <c r="I15" s="39">
        <v>-106778</v>
      </c>
      <c r="J15" s="10"/>
      <c r="K15" s="39">
        <v>-339625</v>
      </c>
      <c r="L15" s="10"/>
      <c r="M15" s="15">
        <v>-18940</v>
      </c>
      <c r="N15" s="17"/>
      <c r="O15" s="15">
        <v>-42749</v>
      </c>
      <c r="P15" s="17"/>
      <c r="Q15" s="15">
        <v>0</v>
      </c>
    </row>
    <row r="16" spans="1:17" x14ac:dyDescent="0.2">
      <c r="A16" s="10"/>
      <c r="B16" s="10"/>
      <c r="C16" s="10"/>
      <c r="D16" s="10" t="s">
        <v>29</v>
      </c>
      <c r="E16" s="10"/>
      <c r="F16" s="10"/>
      <c r="G16" s="39">
        <v>-1265439</v>
      </c>
      <c r="H16" s="10"/>
      <c r="I16" s="39">
        <v>1098457</v>
      </c>
      <c r="J16" s="10"/>
      <c r="K16" s="39">
        <v>-25555</v>
      </c>
      <c r="L16" s="10"/>
      <c r="M16" s="15">
        <v>516133</v>
      </c>
      <c r="N16" s="17"/>
      <c r="O16" s="15">
        <v>416188</v>
      </c>
      <c r="P16" s="17"/>
      <c r="Q16" s="15">
        <v>712872</v>
      </c>
    </row>
    <row r="17" spans="1:21" x14ac:dyDescent="0.2">
      <c r="A17" s="10"/>
      <c r="B17" s="10"/>
      <c r="C17" s="10"/>
      <c r="D17" s="10" t="s">
        <v>80</v>
      </c>
      <c r="E17" s="10"/>
      <c r="F17" s="10"/>
      <c r="G17" s="39">
        <v>-9493</v>
      </c>
      <c r="H17" s="10"/>
      <c r="I17" s="39">
        <v>-80174</v>
      </c>
      <c r="J17" s="10"/>
      <c r="K17" s="39">
        <v>142897</v>
      </c>
      <c r="L17" s="10"/>
      <c r="M17" s="15">
        <v>34517</v>
      </c>
      <c r="N17" s="17"/>
      <c r="O17" s="15">
        <v>8969</v>
      </c>
      <c r="P17" s="17"/>
      <c r="Q17" s="15">
        <v>43994</v>
      </c>
    </row>
    <row r="18" spans="1:21" x14ac:dyDescent="0.2">
      <c r="A18" s="10"/>
      <c r="B18" s="10"/>
      <c r="C18" s="10"/>
      <c r="D18" s="10" t="s">
        <v>81</v>
      </c>
      <c r="E18" s="10"/>
      <c r="F18" s="10"/>
      <c r="G18" s="39">
        <v>-1822515</v>
      </c>
      <c r="H18" s="10"/>
      <c r="I18" s="39">
        <v>-225773</v>
      </c>
      <c r="J18" s="10"/>
      <c r="K18" s="39">
        <v>1513207</v>
      </c>
      <c r="L18" s="10"/>
      <c r="M18" s="15">
        <v>-1083518</v>
      </c>
      <c r="N18" s="17"/>
      <c r="O18" s="15">
        <v>3935523</v>
      </c>
      <c r="P18" s="17"/>
      <c r="Q18" s="15">
        <v>-488695</v>
      </c>
    </row>
    <row r="19" spans="1:21" x14ac:dyDescent="0.2">
      <c r="A19" s="10"/>
      <c r="B19" s="10"/>
      <c r="C19" s="10"/>
      <c r="D19" s="10" t="s">
        <v>82</v>
      </c>
      <c r="E19" s="10"/>
      <c r="F19" s="10"/>
      <c r="G19" s="39">
        <v>-281867</v>
      </c>
      <c r="H19" s="10"/>
      <c r="I19" s="39">
        <v>-1679827</v>
      </c>
      <c r="J19" s="10"/>
      <c r="K19" s="39">
        <v>731355</v>
      </c>
      <c r="L19" s="10"/>
      <c r="M19" s="15">
        <v>142148</v>
      </c>
      <c r="N19" s="17"/>
      <c r="O19" s="15">
        <v>139609</v>
      </c>
      <c r="P19" s="17"/>
      <c r="Q19" s="15">
        <v>34691</v>
      </c>
    </row>
    <row r="20" spans="1:21" x14ac:dyDescent="0.2">
      <c r="A20" s="10"/>
      <c r="B20" s="10"/>
      <c r="C20" s="10"/>
      <c r="D20" s="10" t="s">
        <v>37</v>
      </c>
      <c r="E20" s="10"/>
      <c r="F20" s="10"/>
      <c r="G20" s="39">
        <v>-125088</v>
      </c>
      <c r="H20" s="10"/>
      <c r="I20" s="39">
        <v>-54446</v>
      </c>
      <c r="J20" s="10"/>
      <c r="K20" s="39">
        <v>205481</v>
      </c>
      <c r="L20" s="10"/>
      <c r="M20" s="15">
        <v>374187</v>
      </c>
      <c r="N20" s="17"/>
      <c r="O20" s="15">
        <v>701391</v>
      </c>
      <c r="P20" s="17"/>
      <c r="Q20" s="15">
        <v>98303.5</v>
      </c>
    </row>
    <row r="21" spans="1:21" x14ac:dyDescent="0.2">
      <c r="A21" s="10"/>
      <c r="B21" s="10"/>
      <c r="C21" s="10"/>
      <c r="D21" s="10" t="s">
        <v>83</v>
      </c>
      <c r="E21" s="10"/>
      <c r="F21" s="10"/>
      <c r="G21" s="41">
        <v>0</v>
      </c>
      <c r="H21" s="10"/>
      <c r="I21" s="41">
        <v>0</v>
      </c>
      <c r="J21" s="10"/>
      <c r="K21" s="41">
        <v>0</v>
      </c>
      <c r="L21" s="10"/>
      <c r="M21" s="50">
        <v>0</v>
      </c>
      <c r="N21" s="51"/>
      <c r="O21" s="50">
        <v>0</v>
      </c>
      <c r="P21" s="51"/>
      <c r="Q21" s="50">
        <v>249408.5</v>
      </c>
    </row>
    <row r="22" spans="1:21" x14ac:dyDescent="0.2">
      <c r="A22" s="10"/>
      <c r="B22" s="10" t="s">
        <v>84</v>
      </c>
      <c r="C22" s="10"/>
      <c r="D22" s="10"/>
      <c r="E22" s="10"/>
      <c r="F22" s="10"/>
      <c r="G22" s="17">
        <f>SUM(G9:G21)</f>
        <v>299098.76000000024</v>
      </c>
      <c r="H22" s="10"/>
      <c r="I22" s="17">
        <f>SUM(I9:I21)</f>
        <v>289045.83999999706</v>
      </c>
      <c r="J22" s="10"/>
      <c r="K22" s="17">
        <f>SUM(K9:K21)</f>
        <v>5201835.6500000078</v>
      </c>
      <c r="L22" s="10"/>
      <c r="M22" s="17">
        <f>SUM(M9:M21)</f>
        <v>2729704.1499999957</v>
      </c>
      <c r="N22" s="17"/>
      <c r="O22" s="17">
        <f>SUM(O9:O21)</f>
        <v>3462711.84</v>
      </c>
      <c r="P22" s="17"/>
      <c r="Q22" s="17">
        <f>SUM(Q9:Q21)</f>
        <v>414549</v>
      </c>
    </row>
    <row r="23" spans="1:21" x14ac:dyDescent="0.2">
      <c r="A23" s="10"/>
      <c r="B23" s="10" t="s">
        <v>85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7"/>
      <c r="N23" s="17"/>
      <c r="O23" s="17"/>
      <c r="P23" s="17"/>
      <c r="Q23" s="17"/>
    </row>
    <row r="24" spans="1:21" x14ac:dyDescent="0.2">
      <c r="A24" s="10"/>
      <c r="B24" s="10"/>
      <c r="C24" s="10" t="s">
        <v>17</v>
      </c>
      <c r="D24" s="10"/>
      <c r="E24" s="10"/>
      <c r="F24" s="10"/>
      <c r="G24" s="65">
        <v>-251187</v>
      </c>
      <c r="H24" s="10"/>
      <c r="I24" s="39">
        <v>-2234697</v>
      </c>
      <c r="J24" s="10"/>
      <c r="K24" s="39">
        <v>-2256912</v>
      </c>
      <c r="L24" s="10"/>
      <c r="M24" s="15">
        <f>-767686</f>
        <v>-767686</v>
      </c>
      <c r="N24" s="17"/>
      <c r="O24" s="15">
        <f>-689654.5</f>
        <v>-689654.5</v>
      </c>
      <c r="P24" s="17"/>
      <c r="Q24" s="15">
        <f>-637300+293</f>
        <v>-637007</v>
      </c>
    </row>
    <row r="25" spans="1:21" x14ac:dyDescent="0.2">
      <c r="A25" s="10"/>
      <c r="B25" s="10"/>
      <c r="C25" s="10" t="s">
        <v>86</v>
      </c>
      <c r="D25" s="10"/>
      <c r="E25" s="10"/>
      <c r="F25" s="10"/>
      <c r="G25" s="65">
        <v>0</v>
      </c>
      <c r="H25" s="10"/>
      <c r="I25" s="6">
        <v>0</v>
      </c>
      <c r="J25" s="10"/>
      <c r="K25" s="6">
        <f>-1388887+737877+204006+215617+182739+48648</f>
        <v>0</v>
      </c>
      <c r="L25" s="10"/>
      <c r="M25" s="15">
        <f>297859</f>
        <v>297859</v>
      </c>
      <c r="N25" s="17"/>
      <c r="O25" s="15">
        <v>0</v>
      </c>
      <c r="P25" s="17"/>
      <c r="Q25" s="15">
        <f>-13323-291225-74220.5</f>
        <v>-378768.5</v>
      </c>
      <c r="S25" s="54"/>
      <c r="U25" s="8"/>
    </row>
    <row r="26" spans="1:21" x14ac:dyDescent="0.2">
      <c r="A26" s="10"/>
      <c r="B26" s="10" t="s">
        <v>87</v>
      </c>
      <c r="C26" s="10"/>
      <c r="D26" s="10"/>
      <c r="E26" s="10"/>
      <c r="F26" s="10"/>
      <c r="G26" s="21">
        <f>G24+G25</f>
        <v>-251187</v>
      </c>
      <c r="H26" s="10"/>
      <c r="I26" s="21">
        <f>I24+I25</f>
        <v>-2234697</v>
      </c>
      <c r="J26" s="10"/>
      <c r="K26" s="21">
        <f>K24+K25</f>
        <v>-2256912</v>
      </c>
      <c r="L26" s="10"/>
      <c r="M26" s="21">
        <f>M24+M25</f>
        <v>-469827</v>
      </c>
      <c r="N26" s="17"/>
      <c r="O26" s="21">
        <f>O24+O25</f>
        <v>-689654.5</v>
      </c>
      <c r="P26" s="17"/>
      <c r="Q26" s="21">
        <f>Q24+Q25</f>
        <v>-1015775.5</v>
      </c>
    </row>
    <row r="27" spans="1:21" x14ac:dyDescent="0.2">
      <c r="A27" s="10"/>
      <c r="B27" s="10" t="s">
        <v>88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7"/>
      <c r="N27" s="17"/>
      <c r="O27" s="17"/>
      <c r="P27" s="17"/>
      <c r="Q27" s="17"/>
    </row>
    <row r="28" spans="1:21" x14ac:dyDescent="0.2">
      <c r="A28" s="10"/>
      <c r="B28" s="10"/>
      <c r="C28" s="10" t="s">
        <v>38</v>
      </c>
      <c r="D28" s="10"/>
      <c r="E28" s="10"/>
      <c r="F28" s="10"/>
      <c r="G28" s="6">
        <v>-1426</v>
      </c>
      <c r="H28" s="10"/>
      <c r="I28" s="6">
        <v>-4145</v>
      </c>
      <c r="J28" s="10"/>
      <c r="K28" s="6">
        <f>714346-737877</f>
        <v>-23531</v>
      </c>
      <c r="L28" s="10"/>
      <c r="M28" s="15">
        <v>-832738</v>
      </c>
      <c r="N28" s="17"/>
      <c r="O28" s="15">
        <v>-296812</v>
      </c>
      <c r="P28" s="17"/>
      <c r="Q28" s="15">
        <v>0</v>
      </c>
      <c r="S28" s="54"/>
    </row>
    <row r="29" spans="1:21" x14ac:dyDescent="0.2">
      <c r="A29" s="10"/>
      <c r="B29" s="10"/>
      <c r="C29" s="10" t="s">
        <v>45</v>
      </c>
      <c r="D29" s="10"/>
      <c r="E29" s="10"/>
      <c r="F29" s="10"/>
      <c r="G29" s="15">
        <v>0</v>
      </c>
      <c r="H29" s="10"/>
      <c r="I29" s="15">
        <v>0</v>
      </c>
      <c r="J29" s="10"/>
      <c r="K29" s="15">
        <v>-1000000</v>
      </c>
      <c r="L29" s="10"/>
      <c r="M29" s="15">
        <v>-500000</v>
      </c>
      <c r="N29" s="17"/>
      <c r="O29" s="15">
        <v>0</v>
      </c>
      <c r="P29" s="17"/>
      <c r="Q29" s="15">
        <v>0</v>
      </c>
    </row>
    <row r="30" spans="1:21" x14ac:dyDescent="0.2">
      <c r="A30" s="10"/>
      <c r="B30" s="10"/>
      <c r="C30" s="10" t="s">
        <v>89</v>
      </c>
      <c r="D30" s="10"/>
      <c r="E30" s="10"/>
      <c r="F30" s="10"/>
      <c r="G30" s="6">
        <v>0</v>
      </c>
      <c r="H30" s="10"/>
      <c r="I30" s="6">
        <v>0</v>
      </c>
      <c r="J30" s="10"/>
      <c r="K30" s="6">
        <v>0</v>
      </c>
      <c r="L30" s="10"/>
      <c r="M30" s="15">
        <v>0</v>
      </c>
      <c r="N30" s="17"/>
      <c r="O30" s="15">
        <f>3189773-3143820</f>
        <v>45953</v>
      </c>
      <c r="P30" s="17"/>
      <c r="Q30" s="15">
        <v>0</v>
      </c>
    </row>
    <row r="31" spans="1:21" x14ac:dyDescent="0.2">
      <c r="A31" s="10"/>
      <c r="B31" s="10"/>
      <c r="C31" s="10" t="s">
        <v>90</v>
      </c>
      <c r="D31" s="10"/>
      <c r="E31" s="10"/>
      <c r="F31" s="10"/>
      <c r="G31" s="15">
        <v>0</v>
      </c>
      <c r="H31" s="10"/>
      <c r="I31" s="15">
        <v>0</v>
      </c>
      <c r="J31" s="10"/>
      <c r="K31" s="15">
        <v>0</v>
      </c>
      <c r="L31" s="10"/>
      <c r="M31" s="15">
        <v>0</v>
      </c>
      <c r="N31" s="17"/>
      <c r="O31" s="15">
        <v>0</v>
      </c>
      <c r="P31" s="17"/>
      <c r="Q31" s="15">
        <v>296623</v>
      </c>
    </row>
    <row r="32" spans="1:21" x14ac:dyDescent="0.2">
      <c r="A32" s="10"/>
      <c r="B32" s="10" t="s">
        <v>91</v>
      </c>
      <c r="C32" s="10"/>
      <c r="D32" s="10"/>
      <c r="E32" s="10"/>
      <c r="F32" s="10"/>
      <c r="G32" s="21">
        <f>SUM(G27:G31)</f>
        <v>-1426</v>
      </c>
      <c r="H32" s="10"/>
      <c r="I32" s="21">
        <f>SUM(I27:I31)</f>
        <v>-4145</v>
      </c>
      <c r="J32" s="10"/>
      <c r="K32" s="21">
        <f>SUM(K27:K31)</f>
        <v>-1023531</v>
      </c>
      <c r="L32" s="10"/>
      <c r="M32" s="21">
        <f>SUM(M27:M31)</f>
        <v>-1332738</v>
      </c>
      <c r="N32" s="17"/>
      <c r="O32" s="21">
        <f>SUM(O27:O31)</f>
        <v>-250859</v>
      </c>
      <c r="P32" s="17"/>
      <c r="Q32" s="21">
        <f>SUM(Q27:Q31)</f>
        <v>296623</v>
      </c>
    </row>
    <row r="33" spans="1:18" x14ac:dyDescent="0.2">
      <c r="A33" s="10"/>
      <c r="B33" s="10" t="s">
        <v>92</v>
      </c>
      <c r="C33" s="10"/>
      <c r="D33" s="10"/>
      <c r="E33" s="10"/>
      <c r="F33" s="10"/>
      <c r="G33" s="21">
        <f>+G22+G26+G32</f>
        <v>46485.760000000242</v>
      </c>
      <c r="H33" s="10"/>
      <c r="I33" s="21">
        <f>+I22+I26+I32</f>
        <v>-1949796.1600000029</v>
      </c>
      <c r="J33" s="10"/>
      <c r="K33" s="21">
        <f>+K22+K26+K32</f>
        <v>1921392.6500000078</v>
      </c>
      <c r="L33" s="10"/>
      <c r="M33" s="21">
        <f>+M22+M26+M32</f>
        <v>927139.14999999572</v>
      </c>
      <c r="N33" s="17"/>
      <c r="O33" s="21">
        <f>+O22+O26+O32</f>
        <v>2522198.34</v>
      </c>
      <c r="P33" s="17"/>
      <c r="Q33" s="21">
        <f>+Q22+Q26+Q32</f>
        <v>-304603.5</v>
      </c>
    </row>
    <row r="34" spans="1:18" x14ac:dyDescent="0.2">
      <c r="A34" s="10"/>
      <c r="B34" s="10" t="s">
        <v>93</v>
      </c>
      <c r="C34" s="10"/>
      <c r="D34" s="10"/>
      <c r="E34" s="10"/>
      <c r="F34" s="10"/>
      <c r="G34" s="53">
        <f>I35</f>
        <v>4088508.9800000004</v>
      </c>
      <c r="H34" s="10"/>
      <c r="I34" s="53">
        <f>K35</f>
        <v>6038305.1400000034</v>
      </c>
      <c r="J34" s="10"/>
      <c r="K34" s="53">
        <f>M35</f>
        <v>4116912.4899999956</v>
      </c>
      <c r="L34" s="10"/>
      <c r="M34" s="15">
        <f>O35</f>
        <v>3189773.34</v>
      </c>
      <c r="N34" s="17"/>
      <c r="O34" s="15">
        <v>667575</v>
      </c>
      <c r="P34" s="17"/>
      <c r="Q34" s="15">
        <v>972178.5</v>
      </c>
    </row>
    <row r="35" spans="1:18" ht="13.5" thickBot="1" x14ac:dyDescent="0.25">
      <c r="A35" s="10"/>
      <c r="B35" s="10" t="s">
        <v>94</v>
      </c>
      <c r="C35" s="10"/>
      <c r="D35" s="10"/>
      <c r="E35" s="10"/>
      <c r="F35" s="10"/>
      <c r="G35" s="19">
        <f>+G33+G34</f>
        <v>4134994.7400000007</v>
      </c>
      <c r="H35" s="10"/>
      <c r="I35" s="19">
        <f>+I33+I34</f>
        <v>4088508.9800000004</v>
      </c>
      <c r="J35" s="10"/>
      <c r="K35" s="19">
        <f>+K33+K34</f>
        <v>6038305.1400000034</v>
      </c>
      <c r="L35" s="10"/>
      <c r="M35" s="19">
        <f>+M33+M34</f>
        <v>4116912.4899999956</v>
      </c>
      <c r="N35" s="29"/>
      <c r="O35" s="19">
        <f>+O33+O34</f>
        <v>3189773.34</v>
      </c>
      <c r="P35" s="29"/>
      <c r="Q35" s="19">
        <f>+Q33+Q34</f>
        <v>667575</v>
      </c>
      <c r="R35" s="31"/>
    </row>
    <row r="36" spans="1:18" ht="13.5" thickTop="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5"/>
      <c r="N36" s="17"/>
      <c r="O36" s="15"/>
      <c r="P36" s="17"/>
      <c r="Q36" s="15"/>
    </row>
    <row r="37" spans="1:18" x14ac:dyDescent="0.2">
      <c r="G37" s="31"/>
      <c r="M37" s="6"/>
      <c r="N37" s="5"/>
      <c r="O37" s="6"/>
      <c r="P37" s="5"/>
      <c r="Q37" s="6"/>
    </row>
    <row r="38" spans="1:18" x14ac:dyDescent="0.2">
      <c r="M38" s="6"/>
      <c r="N38" s="5"/>
      <c r="O38" s="6"/>
      <c r="P38" s="5"/>
      <c r="Q38" s="6"/>
    </row>
    <row r="39" spans="1:18" x14ac:dyDescent="0.2">
      <c r="M39" s="6"/>
      <c r="N39" s="5"/>
      <c r="O39" s="6"/>
      <c r="P39" s="5"/>
      <c r="Q39" s="6"/>
    </row>
    <row r="40" spans="1:18" ht="15" x14ac:dyDescent="0.25"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ht="15" x14ac:dyDescent="0.25"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ht="15" x14ac:dyDescent="0.25"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ht="15" x14ac:dyDescent="0.25"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ht="15" x14ac:dyDescent="0.25"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15" x14ac:dyDescent="0.25"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15" x14ac:dyDescent="0.25"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">
      <c r="M47" s="6"/>
      <c r="N47" s="5"/>
      <c r="O47" s="6"/>
      <c r="P47" s="5"/>
      <c r="Q47" s="6"/>
    </row>
    <row r="48" spans="1:18" x14ac:dyDescent="0.2">
      <c r="M48" s="6"/>
      <c r="N48" s="5"/>
      <c r="O48" s="6"/>
      <c r="P48" s="5"/>
      <c r="Q48" s="6"/>
    </row>
    <row r="49" spans="5:17" x14ac:dyDescent="0.2">
      <c r="M49" s="6"/>
      <c r="N49" s="5"/>
      <c r="O49" s="6"/>
      <c r="P49" s="5"/>
      <c r="Q49" s="6"/>
    </row>
    <row r="50" spans="5:17" x14ac:dyDescent="0.2">
      <c r="E50" s="3"/>
    </row>
    <row r="51" spans="5:17" x14ac:dyDescent="0.2">
      <c r="E51" s="3"/>
    </row>
    <row r="52" spans="5:17" x14ac:dyDescent="0.2">
      <c r="E52" s="3"/>
    </row>
    <row r="53" spans="5:17" x14ac:dyDescent="0.2">
      <c r="E53" s="3"/>
    </row>
    <row r="54" spans="5:17" x14ac:dyDescent="0.2">
      <c r="E54" s="3"/>
    </row>
    <row r="55" spans="5:17" x14ac:dyDescent="0.2">
      <c r="E55" s="3"/>
    </row>
    <row r="56" spans="5:17" x14ac:dyDescent="0.2">
      <c r="E56" s="3"/>
    </row>
    <row r="57" spans="5:17" x14ac:dyDescent="0.2">
      <c r="E57" s="3"/>
    </row>
    <row r="58" spans="5:17" x14ac:dyDescent="0.2">
      <c r="E58" s="3"/>
    </row>
  </sheetData>
  <mergeCells count="3">
    <mergeCell ref="B2:Q2"/>
    <mergeCell ref="B3:Q3"/>
    <mergeCell ref="B4:Q4"/>
  </mergeCells>
  <pageMargins left="0.5" right="0.5" top="0.75" bottom="0.75" header="0.3" footer="0.3"/>
  <pageSetup scale="80" orientation="landscape" r:id="rId1"/>
  <headerFooter>
    <oddFooter>&amp;CThis document is strictly private, confidential and personal to its recipients and should not be passed to any third party without the prior written consent of X Golf America, Inc.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F080-ADAC-4C81-B8B1-9D7144D5A332}">
  <sheetPr>
    <tabColor rgb="FF92D050"/>
  </sheetPr>
  <dimension ref="A1:W28"/>
  <sheetViews>
    <sheetView tabSelected="1" zoomScaleNormal="100" workbookViewId="0">
      <selection activeCell="L18" sqref="L18"/>
    </sheetView>
  </sheetViews>
  <sheetFormatPr defaultColWidth="8.85546875" defaultRowHeight="12.75" x14ac:dyDescent="0.2"/>
  <cols>
    <col min="1" max="1" width="2.7109375" style="2" customWidth="1"/>
    <col min="2" max="2" width="3.7109375" style="2" customWidth="1"/>
    <col min="3" max="3" width="37" style="2" customWidth="1"/>
    <col min="4" max="4" width="13.5703125" style="2" customWidth="1"/>
    <col min="5" max="5" width="2.28515625" style="2" customWidth="1"/>
    <col min="6" max="6" width="11.140625" style="2" hidden="1" customWidth="1"/>
    <col min="7" max="7" width="12.140625" style="2" hidden="1" customWidth="1"/>
    <col min="8" max="9" width="10.28515625" style="2" hidden="1" customWidth="1"/>
    <col min="10" max="10" width="10.28515625" style="2" customWidth="1"/>
    <col min="11" max="11" width="2.140625" style="2" customWidth="1"/>
    <col min="12" max="12" width="9.140625" style="2" customWidth="1"/>
    <col min="13" max="13" width="2.140625" style="2" customWidth="1"/>
    <col min="14" max="14" width="15.7109375" style="2" bestFit="1" customWidth="1"/>
    <col min="15" max="15" width="1.7109375" style="2" customWidth="1"/>
    <col min="16" max="16" width="13.140625" style="3" customWidth="1"/>
    <col min="17" max="17" width="14.85546875" style="2" bestFit="1" customWidth="1"/>
    <col min="18" max="16384" width="8.85546875" style="2"/>
  </cols>
  <sheetData>
    <row r="1" spans="1:23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5"/>
      <c r="Q1" s="10"/>
      <c r="R1" s="10"/>
    </row>
    <row r="2" spans="1:23" s="1" customFormat="1" ht="15" x14ac:dyDescent="0.25">
      <c r="A2" s="35"/>
      <c r="B2" s="66" t="s">
        <v>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35"/>
      <c r="S2" s="2"/>
      <c r="T2" s="2"/>
      <c r="U2" s="2"/>
      <c r="V2" s="2"/>
      <c r="W2" s="2"/>
    </row>
    <row r="3" spans="1:23" x14ac:dyDescent="0.2">
      <c r="A3" s="10"/>
      <c r="B3" s="10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23" x14ac:dyDescent="0.2">
      <c r="A4" s="10"/>
      <c r="B4" s="10" t="s">
        <v>95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23" x14ac:dyDescent="0.2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0"/>
      <c r="O5" s="10"/>
      <c r="P5" s="15"/>
      <c r="Q5" s="10"/>
      <c r="R5" s="10"/>
    </row>
    <row r="6" spans="1:23" x14ac:dyDescent="0.2">
      <c r="A6" s="10"/>
      <c r="B6" s="10"/>
      <c r="C6" s="32"/>
      <c r="D6" s="62" t="s">
        <v>96</v>
      </c>
      <c r="E6" s="62"/>
      <c r="F6" s="62" t="s">
        <v>97</v>
      </c>
      <c r="G6" s="62" t="s">
        <v>98</v>
      </c>
      <c r="H6" s="62" t="s">
        <v>99</v>
      </c>
      <c r="I6" s="62" t="s">
        <v>100</v>
      </c>
      <c r="J6" s="62" t="s">
        <v>101</v>
      </c>
      <c r="K6" s="62"/>
      <c r="L6" s="62" t="s">
        <v>138</v>
      </c>
      <c r="M6" s="62"/>
      <c r="N6" s="62" t="s">
        <v>102</v>
      </c>
      <c r="O6" s="62"/>
      <c r="P6" s="62" t="s">
        <v>103</v>
      </c>
      <c r="Q6" s="62" t="s">
        <v>104</v>
      </c>
      <c r="R6" s="10"/>
    </row>
    <row r="7" spans="1:23" x14ac:dyDescent="0.2">
      <c r="A7" s="10"/>
      <c r="B7" s="10"/>
      <c r="C7" s="10"/>
      <c r="D7" s="13" t="s">
        <v>105</v>
      </c>
      <c r="E7" s="13"/>
      <c r="F7" s="13" t="s">
        <v>106</v>
      </c>
      <c r="G7" s="13" t="s">
        <v>106</v>
      </c>
      <c r="H7" s="13" t="s">
        <v>106</v>
      </c>
      <c r="I7" s="13" t="s">
        <v>106</v>
      </c>
      <c r="J7" s="13" t="s">
        <v>106</v>
      </c>
      <c r="K7" s="13"/>
      <c r="L7" s="13" t="s">
        <v>106</v>
      </c>
      <c r="M7" s="13"/>
      <c r="N7" s="13" t="s">
        <v>106</v>
      </c>
      <c r="O7" s="13"/>
      <c r="P7" s="13" t="s">
        <v>107</v>
      </c>
      <c r="Q7" s="13" t="s">
        <v>108</v>
      </c>
      <c r="R7" s="10"/>
    </row>
    <row r="8" spans="1:23" x14ac:dyDescent="0.2">
      <c r="A8" s="10"/>
      <c r="B8" s="10"/>
      <c r="C8" s="14" t="s">
        <v>109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63"/>
      <c r="R8" s="10"/>
    </row>
    <row r="9" spans="1:23" x14ac:dyDescent="0.2">
      <c r="A9" s="10"/>
      <c r="B9" s="10"/>
      <c r="C9" s="33" t="s">
        <v>110</v>
      </c>
      <c r="D9" s="16">
        <v>1131937</v>
      </c>
      <c r="E9" s="29"/>
      <c r="F9" s="16">
        <v>282273.2</v>
      </c>
      <c r="G9" s="16">
        <v>36248.26</v>
      </c>
      <c r="H9" s="16">
        <v>171689.69</v>
      </c>
      <c r="I9" s="16">
        <v>-143413.6</v>
      </c>
      <c r="J9" s="16">
        <f>SUM(F9:I9)</f>
        <v>346797.55000000005</v>
      </c>
      <c r="K9" s="29"/>
      <c r="L9" s="16">
        <f>'Balance Sheet'!E18-J9-D9</f>
        <v>12087.559999999823</v>
      </c>
      <c r="M9" s="29"/>
      <c r="N9" s="16">
        <f>D9+J9+L9</f>
        <v>1490822.1099999999</v>
      </c>
      <c r="O9" s="29"/>
      <c r="P9" s="16">
        <v>1222000</v>
      </c>
      <c r="Q9" s="16">
        <f>P9-N9</f>
        <v>-268822.10999999987</v>
      </c>
      <c r="R9" s="10"/>
    </row>
    <row r="10" spans="1:23" x14ac:dyDescent="0.2">
      <c r="A10" s="10"/>
      <c r="B10" s="10"/>
      <c r="C10" s="33" t="s">
        <v>111</v>
      </c>
      <c r="D10" s="15">
        <v>0</v>
      </c>
      <c r="E10" s="17"/>
      <c r="F10" s="15"/>
      <c r="G10" s="15">
        <v>29641.94</v>
      </c>
      <c r="H10" s="15"/>
      <c r="I10" s="15"/>
      <c r="J10" s="16">
        <f t="shared" ref="J10:J15" si="0">SUM(F10:I10)</f>
        <v>29641.94</v>
      </c>
      <c r="K10" s="29"/>
      <c r="L10" s="16">
        <v>-29642</v>
      </c>
      <c r="M10" s="29"/>
      <c r="N10" s="16">
        <f t="shared" ref="N10:N15" si="1">D10+J10+L10</f>
        <v>-6.0000000001309672E-2</v>
      </c>
      <c r="O10" s="17"/>
      <c r="P10" s="15">
        <v>35000</v>
      </c>
      <c r="Q10" s="15">
        <f t="shared" ref="Q10:Q15" si="2">P10-N10</f>
        <v>35000.06</v>
      </c>
      <c r="R10" s="10"/>
    </row>
    <row r="11" spans="1:23" x14ac:dyDescent="0.2">
      <c r="A11" s="10"/>
      <c r="B11" s="10"/>
      <c r="C11" s="33" t="s">
        <v>112</v>
      </c>
      <c r="D11" s="15">
        <v>0</v>
      </c>
      <c r="E11" s="17"/>
      <c r="F11" s="15">
        <v>14420.24</v>
      </c>
      <c r="G11" s="15"/>
      <c r="H11" s="15"/>
      <c r="I11" s="15"/>
      <c r="J11" s="16">
        <f t="shared" si="0"/>
        <v>14420.24</v>
      </c>
      <c r="K11" s="29"/>
      <c r="L11" s="16"/>
      <c r="M11" s="29"/>
      <c r="N11" s="16">
        <f t="shared" si="1"/>
        <v>14420.24</v>
      </c>
      <c r="O11" s="17"/>
      <c r="P11" s="15">
        <v>25000</v>
      </c>
      <c r="Q11" s="15">
        <f t="shared" si="2"/>
        <v>10579.76</v>
      </c>
      <c r="R11" s="10"/>
    </row>
    <row r="12" spans="1:23" x14ac:dyDescent="0.2">
      <c r="A12" s="10"/>
      <c r="B12" s="10"/>
      <c r="C12" s="33" t="s">
        <v>113</v>
      </c>
      <c r="D12" s="15">
        <v>0</v>
      </c>
      <c r="E12" s="17"/>
      <c r="F12" s="15">
        <v>5931.27</v>
      </c>
      <c r="G12" s="15">
        <v>10472.57</v>
      </c>
      <c r="H12" s="15">
        <v>8174.92</v>
      </c>
      <c r="I12" s="15">
        <v>3299.18</v>
      </c>
      <c r="J12" s="16">
        <f t="shared" si="0"/>
        <v>27877.940000000002</v>
      </c>
      <c r="K12" s="29"/>
      <c r="L12" s="16"/>
      <c r="M12" s="29"/>
      <c r="N12" s="16">
        <f t="shared" si="1"/>
        <v>27877.940000000002</v>
      </c>
      <c r="O12" s="17"/>
      <c r="P12" s="15">
        <v>25000</v>
      </c>
      <c r="Q12" s="15">
        <f t="shared" si="2"/>
        <v>-2877.9400000000023</v>
      </c>
      <c r="R12" s="10"/>
    </row>
    <row r="13" spans="1:23" x14ac:dyDescent="0.2">
      <c r="A13" s="10"/>
      <c r="B13" s="10"/>
      <c r="C13" s="33" t="s">
        <v>114</v>
      </c>
      <c r="D13" s="15">
        <v>0</v>
      </c>
      <c r="E13" s="17"/>
      <c r="F13" s="15"/>
      <c r="G13" s="15"/>
      <c r="H13" s="15"/>
      <c r="I13" s="15"/>
      <c r="J13" s="16">
        <f t="shared" si="0"/>
        <v>0</v>
      </c>
      <c r="K13" s="29"/>
      <c r="L13" s="16"/>
      <c r="M13" s="29"/>
      <c r="N13" s="16">
        <f t="shared" si="1"/>
        <v>0</v>
      </c>
      <c r="O13" s="17"/>
      <c r="P13" s="15">
        <v>50000</v>
      </c>
      <c r="Q13" s="15">
        <f t="shared" si="2"/>
        <v>50000</v>
      </c>
      <c r="R13" s="10"/>
    </row>
    <row r="14" spans="1:23" x14ac:dyDescent="0.2">
      <c r="A14" s="10"/>
      <c r="B14" s="10"/>
      <c r="C14" s="33" t="s">
        <v>115</v>
      </c>
      <c r="D14" s="15">
        <v>35263.589999999997</v>
      </c>
      <c r="E14" s="17"/>
      <c r="F14" s="15"/>
      <c r="G14" s="15">
        <v>232817.61</v>
      </c>
      <c r="H14" s="15">
        <v>820774.6399999999</v>
      </c>
      <c r="I14" s="15">
        <v>51659.409999999996</v>
      </c>
      <c r="J14" s="16">
        <f t="shared" si="0"/>
        <v>1105251.6599999999</v>
      </c>
      <c r="K14" s="29"/>
      <c r="L14" s="16">
        <f>'Balance Sheet'!E19-J14-D14</f>
        <v>37936.149999999994</v>
      </c>
      <c r="M14" s="29"/>
      <c r="N14" s="16">
        <f>D14+J14+L14</f>
        <v>1178451.3999999999</v>
      </c>
      <c r="O14" s="17"/>
      <c r="P14" s="15">
        <v>1200000</v>
      </c>
      <c r="Q14" s="15">
        <f t="shared" si="2"/>
        <v>21548.600000000093</v>
      </c>
      <c r="R14" s="10"/>
    </row>
    <row r="15" spans="1:23" x14ac:dyDescent="0.2">
      <c r="A15" s="10"/>
      <c r="B15" s="10"/>
      <c r="C15" s="33" t="s">
        <v>116</v>
      </c>
      <c r="D15" s="15">
        <v>0</v>
      </c>
      <c r="E15" s="17"/>
      <c r="F15" s="15"/>
      <c r="G15" s="15"/>
      <c r="H15" s="15"/>
      <c r="I15" s="15">
        <v>545747.35</v>
      </c>
      <c r="J15" s="16">
        <f t="shared" si="0"/>
        <v>545747.35</v>
      </c>
      <c r="K15" s="29"/>
      <c r="L15" s="16">
        <f>'Balance Sheet'!E21+'Balance Sheet'!E20-J15</f>
        <v>55420.400000000023</v>
      </c>
      <c r="M15" s="29"/>
      <c r="N15" s="16">
        <f t="shared" si="1"/>
        <v>601167.75</v>
      </c>
      <c r="O15" s="17"/>
      <c r="P15" s="15">
        <v>0</v>
      </c>
      <c r="Q15" s="15">
        <f t="shared" si="2"/>
        <v>-601167.75</v>
      </c>
      <c r="R15" s="10"/>
    </row>
    <row r="16" spans="1:23" x14ac:dyDescent="0.2">
      <c r="A16" s="10"/>
      <c r="B16" s="10"/>
      <c r="C16" s="33"/>
      <c r="D16" s="15"/>
      <c r="E16" s="17"/>
      <c r="F16" s="15"/>
      <c r="G16" s="15"/>
      <c r="H16" s="15"/>
      <c r="I16" s="15"/>
      <c r="J16" s="15"/>
      <c r="K16" s="17"/>
      <c r="L16" s="15"/>
      <c r="M16" s="17"/>
      <c r="N16" s="16"/>
      <c r="O16" s="17"/>
      <c r="P16" s="15"/>
      <c r="Q16" s="15"/>
      <c r="R16" s="10"/>
    </row>
    <row r="17" spans="1:18" x14ac:dyDescent="0.2">
      <c r="A17" s="10"/>
      <c r="B17" s="10"/>
      <c r="C17" s="14" t="s">
        <v>117</v>
      </c>
      <c r="D17" s="15"/>
      <c r="E17" s="17"/>
      <c r="F17" s="15"/>
      <c r="G17" s="15"/>
      <c r="H17" s="15"/>
      <c r="I17" s="15"/>
      <c r="J17" s="15"/>
      <c r="K17" s="17"/>
      <c r="L17" s="15"/>
      <c r="M17" s="17"/>
      <c r="N17" s="15"/>
      <c r="O17" s="17"/>
      <c r="P17" s="15"/>
      <c r="Q17" s="15"/>
      <c r="R17" s="10"/>
    </row>
    <row r="18" spans="1:18" x14ac:dyDescent="0.2">
      <c r="A18" s="10"/>
      <c r="B18" s="10"/>
      <c r="C18" s="33" t="s">
        <v>118</v>
      </c>
      <c r="D18" s="15">
        <v>160000</v>
      </c>
      <c r="E18" s="17"/>
      <c r="F18" s="15">
        <v>152247.67999999999</v>
      </c>
      <c r="G18" s="15"/>
      <c r="H18" s="15"/>
      <c r="I18" s="15"/>
      <c r="J18" s="16">
        <f t="shared" ref="J18:J19" si="3">SUM(F18:I18)</f>
        <v>152247.67999999999</v>
      </c>
      <c r="K18" s="29"/>
      <c r="L18" s="72">
        <f>-71500+92150</f>
        <v>20650</v>
      </c>
      <c r="M18" s="29"/>
      <c r="N18" s="16">
        <f t="shared" ref="N18:N19" si="4">D18+J18+L18</f>
        <v>332897.68</v>
      </c>
      <c r="O18" s="17"/>
      <c r="P18" s="15">
        <v>275000</v>
      </c>
      <c r="Q18" s="15">
        <f t="shared" ref="Q18:Q19" si="5">P18-N18</f>
        <v>-57897.679999999993</v>
      </c>
      <c r="R18" s="10"/>
    </row>
    <row r="19" spans="1:18" x14ac:dyDescent="0.2">
      <c r="A19" s="10"/>
      <c r="B19" s="10"/>
      <c r="C19" s="33" t="s">
        <v>119</v>
      </c>
      <c r="D19" s="15">
        <v>79632</v>
      </c>
      <c r="E19" s="17"/>
      <c r="F19" s="15">
        <v>12712.43</v>
      </c>
      <c r="G19" s="15"/>
      <c r="H19" s="15"/>
      <c r="I19" s="15"/>
      <c r="J19" s="16">
        <f t="shared" si="3"/>
        <v>12712.43</v>
      </c>
      <c r="K19" s="29"/>
      <c r="L19" s="16"/>
      <c r="M19" s="29"/>
      <c r="N19" s="16">
        <f t="shared" si="4"/>
        <v>92344.43</v>
      </c>
      <c r="O19" s="17"/>
      <c r="P19" s="15">
        <v>125000</v>
      </c>
      <c r="Q19" s="15">
        <f t="shared" si="5"/>
        <v>32655.570000000007</v>
      </c>
      <c r="R19" s="10"/>
    </row>
    <row r="20" spans="1:18" ht="13.5" thickBot="1" x14ac:dyDescent="0.25">
      <c r="A20" s="10"/>
      <c r="B20" s="10"/>
      <c r="C20" s="34" t="s">
        <v>120</v>
      </c>
      <c r="D20" s="19">
        <f>SUM(D8:D19)</f>
        <v>1406832.59</v>
      </c>
      <c r="E20" s="29"/>
      <c r="F20" s="19">
        <f>SUM(F9:F19)</f>
        <v>467584.82</v>
      </c>
      <c r="G20" s="19">
        <f>SUM(G9:G19)</f>
        <v>309180.38</v>
      </c>
      <c r="H20" s="19">
        <f>SUM(H9:H19)</f>
        <v>1000639.2499999999</v>
      </c>
      <c r="I20" s="19">
        <f>SUM(I9:I19)</f>
        <v>457292.33999999997</v>
      </c>
      <c r="J20" s="19">
        <f>SUM(J9:J19)</f>
        <v>2234696.7900000005</v>
      </c>
      <c r="K20" s="29">
        <f t="shared" ref="K20:M20" si="6">SUM(K9:K19)</f>
        <v>0</v>
      </c>
      <c r="L20" s="19">
        <f t="shared" si="6"/>
        <v>96452.109999999841</v>
      </c>
      <c r="M20" s="29">
        <f t="shared" si="6"/>
        <v>0</v>
      </c>
      <c r="N20" s="19">
        <f>SUM(N9:N19)</f>
        <v>3737981.49</v>
      </c>
      <c r="O20" s="29"/>
      <c r="P20" s="19">
        <f>SUM(P9:P19)</f>
        <v>2957000</v>
      </c>
      <c r="Q20" s="19">
        <f>SUM(Q9:Q19)</f>
        <v>-780981.48999999976</v>
      </c>
      <c r="R20" s="10"/>
    </row>
    <row r="21" spans="1:18" ht="13.5" thickTop="1" x14ac:dyDescent="0.2">
      <c r="A21" s="10"/>
      <c r="B21" s="10"/>
      <c r="C21" s="10"/>
      <c r="D21" s="10"/>
      <c r="E21" s="10"/>
      <c r="F21" s="15"/>
      <c r="G21" s="15"/>
      <c r="H21" s="15"/>
      <c r="I21" s="15"/>
      <c r="J21" s="15"/>
      <c r="K21" s="17"/>
      <c r="L21" s="17"/>
      <c r="M21" s="17"/>
      <c r="N21" s="15"/>
      <c r="O21" s="17"/>
      <c r="P21" s="15"/>
      <c r="Q21" s="10"/>
      <c r="R21" s="10"/>
    </row>
    <row r="22" spans="1:18" x14ac:dyDescent="0.2">
      <c r="P22" s="2"/>
    </row>
    <row r="23" spans="1:18" x14ac:dyDescent="0.2">
      <c r="P23" s="2"/>
    </row>
    <row r="24" spans="1:18" x14ac:dyDescent="0.2">
      <c r="P24" s="2"/>
    </row>
    <row r="25" spans="1:18" x14ac:dyDescent="0.2">
      <c r="P25" s="2"/>
    </row>
    <row r="26" spans="1:18" x14ac:dyDescent="0.2">
      <c r="P26" s="2"/>
    </row>
    <row r="27" spans="1:18" x14ac:dyDescent="0.2">
      <c r="P27" s="2"/>
    </row>
    <row r="28" spans="1:18" x14ac:dyDescent="0.2">
      <c r="P28" s="2"/>
    </row>
  </sheetData>
  <pageMargins left="0.5" right="0.5" top="0.75" bottom="0.75" header="0.3" footer="0.3"/>
  <pageSetup orientation="landscape" r:id="rId1"/>
  <headerFooter>
    <oddFooter>&amp;CThis document is strictly private, confidential and personal to its recipients and should not be passed to any third party without the prior written consent of X Golf America, Inc.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12FD-3B75-4D34-BFE6-D294DC0CE85C}">
  <sheetPr>
    <tabColor rgb="FF92D050"/>
  </sheetPr>
  <dimension ref="A1:Q32"/>
  <sheetViews>
    <sheetView workbookViewId="0">
      <selection activeCell="J34" sqref="J34"/>
    </sheetView>
  </sheetViews>
  <sheetFormatPr defaultColWidth="8.85546875" defaultRowHeight="12.75" x14ac:dyDescent="0.2"/>
  <cols>
    <col min="1" max="2" width="2.7109375" style="2" customWidth="1"/>
    <col min="3" max="3" width="32.28515625" style="2" customWidth="1"/>
    <col min="4" max="4" width="12.7109375" style="2" customWidth="1"/>
    <col min="5" max="5" width="1.7109375" style="2" customWidth="1"/>
    <col min="6" max="6" width="12.7109375" style="2" customWidth="1"/>
    <col min="7" max="7" width="1.7109375" style="2" customWidth="1"/>
    <col min="8" max="8" width="13.7109375" style="2" customWidth="1"/>
    <col min="9" max="9" width="1.7109375" style="2" customWidth="1"/>
    <col min="10" max="10" width="12.7109375" style="2" customWidth="1"/>
    <col min="11" max="11" width="11.7109375" style="2" bestFit="1" customWidth="1"/>
    <col min="12" max="12" width="13.42578125" style="3" bestFit="1" customWidth="1"/>
    <col min="13" max="13" width="12.42578125" style="2" customWidth="1"/>
    <col min="14" max="14" width="8.85546875" style="2"/>
    <col min="15" max="15" width="12.7109375" style="2" customWidth="1"/>
    <col min="16" max="16384" width="8.85546875" style="2"/>
  </cols>
  <sheetData>
    <row r="1" spans="1:17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7" s="1" customFormat="1" ht="15" x14ac:dyDescent="0.25">
      <c r="A2" s="35"/>
      <c r="B2" s="67" t="s">
        <v>0</v>
      </c>
      <c r="C2" s="67"/>
      <c r="D2" s="67"/>
      <c r="E2" s="67"/>
      <c r="F2" s="67"/>
      <c r="G2" s="67"/>
      <c r="H2" s="67"/>
      <c r="I2" s="67"/>
      <c r="J2" s="67"/>
      <c r="K2" s="35"/>
      <c r="L2" s="7"/>
    </row>
    <row r="3" spans="1:17" x14ac:dyDescent="0.2">
      <c r="A3" s="10"/>
      <c r="B3" s="68" t="s">
        <v>1</v>
      </c>
      <c r="C3" s="68"/>
      <c r="D3" s="68"/>
      <c r="E3" s="68"/>
      <c r="F3" s="68"/>
      <c r="G3" s="68"/>
      <c r="H3" s="68"/>
      <c r="I3" s="68"/>
      <c r="J3" s="68"/>
      <c r="K3" s="10"/>
    </row>
    <row r="4" spans="1:17" x14ac:dyDescent="0.2">
      <c r="A4" s="10"/>
      <c r="B4" s="68" t="s">
        <v>121</v>
      </c>
      <c r="C4" s="68"/>
      <c r="D4" s="68"/>
      <c r="E4" s="68"/>
      <c r="F4" s="68"/>
      <c r="G4" s="68"/>
      <c r="H4" s="68"/>
      <c r="I4" s="68"/>
      <c r="J4" s="68"/>
      <c r="K4" s="10"/>
    </row>
    <row r="5" spans="1:17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7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7" ht="13.15" customHeight="1" x14ac:dyDescent="0.2">
      <c r="A7" s="10"/>
      <c r="B7" s="12" t="s">
        <v>122</v>
      </c>
      <c r="C7" s="10"/>
      <c r="D7" s="10"/>
      <c r="E7" s="10"/>
      <c r="F7" s="10"/>
      <c r="G7" s="10"/>
      <c r="H7" s="24" t="s">
        <v>123</v>
      </c>
      <c r="I7" s="10"/>
      <c r="J7" s="69" t="s">
        <v>124</v>
      </c>
      <c r="K7" s="10"/>
    </row>
    <row r="8" spans="1:17" x14ac:dyDescent="0.2">
      <c r="A8" s="10"/>
      <c r="B8" s="10"/>
      <c r="C8" s="10"/>
      <c r="D8" s="71" t="s">
        <v>125</v>
      </c>
      <c r="E8" s="71"/>
      <c r="F8" s="71"/>
      <c r="G8" s="10"/>
      <c r="H8" s="24" t="s">
        <v>126</v>
      </c>
      <c r="I8" s="10"/>
      <c r="J8" s="69"/>
      <c r="K8" s="10"/>
      <c r="L8" s="60"/>
      <c r="M8" s="60"/>
    </row>
    <row r="9" spans="1:17" s="27" customFormat="1" ht="25.5" x14ac:dyDescent="0.2">
      <c r="A9" s="24"/>
      <c r="B9" s="24"/>
      <c r="C9" s="24"/>
      <c r="D9" s="25" t="s">
        <v>127</v>
      </c>
      <c r="E9" s="26"/>
      <c r="F9" s="25" t="s">
        <v>128</v>
      </c>
      <c r="G9" s="24"/>
      <c r="H9" s="25" t="s">
        <v>129</v>
      </c>
      <c r="I9" s="24"/>
      <c r="J9" s="70"/>
      <c r="K9" s="24"/>
      <c r="L9" s="61"/>
      <c r="M9" s="61"/>
    </row>
    <row r="10" spans="1:17" ht="13.5" thickBot="1" x14ac:dyDescent="0.25">
      <c r="A10" s="10"/>
      <c r="B10" s="10" t="s">
        <v>130</v>
      </c>
      <c r="C10" s="10"/>
      <c r="D10" s="28">
        <v>300000</v>
      </c>
      <c r="E10" s="15"/>
      <c r="F10" s="19">
        <v>3000000</v>
      </c>
      <c r="G10" s="15"/>
      <c r="H10" s="19">
        <f>'Balance Sheet'!O44+'Balance Sheet'!O47</f>
        <v>-2327477.5</v>
      </c>
      <c r="I10" s="15"/>
      <c r="J10" s="19">
        <f>SUM(F10:H10)</f>
        <v>672522.5</v>
      </c>
      <c r="K10" s="15"/>
      <c r="L10" s="60"/>
      <c r="M10" s="60"/>
      <c r="Q10" s="31"/>
    </row>
    <row r="11" spans="1:17" ht="13.5" thickTop="1" x14ac:dyDescent="0.2">
      <c r="A11" s="10"/>
      <c r="B11" s="10"/>
      <c r="C11" s="10" t="s">
        <v>45</v>
      </c>
      <c r="D11" s="15">
        <v>0</v>
      </c>
      <c r="E11" s="15"/>
      <c r="F11" s="15">
        <v>0</v>
      </c>
      <c r="G11" s="15"/>
      <c r="H11" s="15">
        <f>'Balance Sheet'!K42</f>
        <v>0</v>
      </c>
      <c r="I11" s="15"/>
      <c r="J11" s="15">
        <f>+F11+H11</f>
        <v>0</v>
      </c>
      <c r="K11" s="15"/>
      <c r="L11" s="60"/>
      <c r="M11" s="60"/>
    </row>
    <row r="12" spans="1:17" x14ac:dyDescent="0.2">
      <c r="A12" s="10"/>
      <c r="B12" s="10"/>
      <c r="C12" s="10" t="s">
        <v>131</v>
      </c>
      <c r="D12" s="15">
        <v>0</v>
      </c>
      <c r="E12" s="15"/>
      <c r="F12" s="15">
        <v>0</v>
      </c>
      <c r="G12" s="15"/>
      <c r="H12" s="15">
        <v>-11</v>
      </c>
      <c r="I12" s="15"/>
      <c r="J12" s="15">
        <f>+F12+H12</f>
        <v>-11</v>
      </c>
      <c r="K12" s="15"/>
      <c r="L12" s="60"/>
      <c r="M12" s="60"/>
    </row>
    <row r="13" spans="1:17" x14ac:dyDescent="0.2">
      <c r="A13" s="10"/>
      <c r="B13" s="10"/>
      <c r="C13" s="10" t="s">
        <v>132</v>
      </c>
      <c r="D13" s="15">
        <v>0</v>
      </c>
      <c r="E13" s="15"/>
      <c r="F13" s="15">
        <v>0</v>
      </c>
      <c r="G13" s="15"/>
      <c r="H13" s="15">
        <v>1584592.5</v>
      </c>
      <c r="I13" s="15"/>
      <c r="J13" s="15">
        <f>+F13+H13</f>
        <v>1584592.5</v>
      </c>
      <c r="K13" s="15"/>
      <c r="L13" s="60"/>
      <c r="M13" s="60"/>
    </row>
    <row r="14" spans="1:17" ht="13.5" thickBot="1" x14ac:dyDescent="0.25">
      <c r="A14" s="10"/>
      <c r="B14" s="10" t="s">
        <v>133</v>
      </c>
      <c r="C14" s="10"/>
      <c r="D14" s="28">
        <f>SUM(D10:D13)</f>
        <v>300000</v>
      </c>
      <c r="E14" s="15"/>
      <c r="F14" s="19">
        <f>SUM(F10:F13)</f>
        <v>3000000</v>
      </c>
      <c r="G14" s="15"/>
      <c r="H14" s="19">
        <f>SUM(H10:H13)</f>
        <v>-742896</v>
      </c>
      <c r="I14" s="15"/>
      <c r="J14" s="19">
        <f>SUM(J10:J13)</f>
        <v>2257104</v>
      </c>
      <c r="K14" s="15"/>
      <c r="L14" s="2"/>
      <c r="M14" s="60"/>
    </row>
    <row r="15" spans="1:17" ht="13.5" thickTop="1" x14ac:dyDescent="0.2">
      <c r="A15" s="10"/>
      <c r="B15" s="10"/>
      <c r="C15" s="10" t="s">
        <v>45</v>
      </c>
      <c r="D15" s="15">
        <v>0</v>
      </c>
      <c r="E15" s="15"/>
      <c r="F15" s="15">
        <v>0</v>
      </c>
      <c r="G15" s="15"/>
      <c r="H15" s="15">
        <f>'Balance Sheet'!K46</f>
        <v>-500000</v>
      </c>
      <c r="I15" s="15"/>
      <c r="J15" s="15">
        <f>+F15+H15</f>
        <v>-500000</v>
      </c>
      <c r="K15" s="15"/>
      <c r="L15" s="60"/>
      <c r="M15" s="60"/>
    </row>
    <row r="16" spans="1:17" x14ac:dyDescent="0.2">
      <c r="A16" s="10"/>
      <c r="B16" s="10"/>
      <c r="C16" s="10" t="s">
        <v>131</v>
      </c>
      <c r="D16" s="15">
        <v>0</v>
      </c>
      <c r="E16" s="15"/>
      <c r="F16" s="15">
        <v>0</v>
      </c>
      <c r="G16" s="15"/>
      <c r="H16" s="15">
        <v>105</v>
      </c>
      <c r="I16" s="15"/>
      <c r="J16" s="15">
        <f>+F16+H16</f>
        <v>105</v>
      </c>
      <c r="K16" s="15"/>
      <c r="L16" s="60"/>
      <c r="M16" s="60"/>
    </row>
    <row r="17" spans="1:13" x14ac:dyDescent="0.2">
      <c r="A17" s="10"/>
      <c r="B17" s="10"/>
      <c r="C17" s="10" t="s">
        <v>132</v>
      </c>
      <c r="D17" s="15">
        <v>0</v>
      </c>
      <c r="E17" s="15"/>
      <c r="F17" s="15">
        <v>0</v>
      </c>
      <c r="G17" s="15"/>
      <c r="H17" s="15">
        <f>'Balance Sheet'!K47</f>
        <v>3061667</v>
      </c>
      <c r="I17" s="15"/>
      <c r="J17" s="15">
        <f>+F17+H17</f>
        <v>3061667</v>
      </c>
      <c r="K17" s="15"/>
      <c r="L17" s="60"/>
      <c r="M17" s="60"/>
    </row>
    <row r="18" spans="1:13" ht="13.5" thickBot="1" x14ac:dyDescent="0.25">
      <c r="A18" s="10"/>
      <c r="B18" s="10" t="s">
        <v>134</v>
      </c>
      <c r="C18" s="10"/>
      <c r="D18" s="28">
        <f>SUM(D14:D17)</f>
        <v>300000</v>
      </c>
      <c r="E18" s="15"/>
      <c r="F18" s="19">
        <f>SUM(F14:F17)</f>
        <v>3000000</v>
      </c>
      <c r="G18" s="15"/>
      <c r="H18" s="19">
        <f>SUM(H14:H17)</f>
        <v>1818876</v>
      </c>
      <c r="I18" s="15"/>
      <c r="J18" s="19">
        <f>SUM(J14:J17)</f>
        <v>4818876</v>
      </c>
      <c r="K18" s="15"/>
      <c r="L18" s="2"/>
      <c r="M18" s="60"/>
    </row>
    <row r="19" spans="1:13" ht="13.5" thickTop="1" x14ac:dyDescent="0.2">
      <c r="A19" s="10"/>
      <c r="B19" s="10"/>
      <c r="C19" s="10" t="s">
        <v>45</v>
      </c>
      <c r="D19" s="15">
        <v>0</v>
      </c>
      <c r="E19" s="15"/>
      <c r="F19" s="15">
        <v>0</v>
      </c>
      <c r="G19" s="15"/>
      <c r="H19" s="15">
        <f>'Balance Sheet'!I46</f>
        <v>-1000000</v>
      </c>
      <c r="I19" s="15"/>
      <c r="J19" s="15">
        <f>+F19+H19</f>
        <v>-1000000</v>
      </c>
      <c r="K19" s="10"/>
      <c r="L19" s="60"/>
      <c r="M19" s="60"/>
    </row>
    <row r="20" spans="1:13" x14ac:dyDescent="0.2">
      <c r="A20" s="10"/>
      <c r="B20" s="10"/>
      <c r="C20" s="10" t="s">
        <v>131</v>
      </c>
      <c r="D20" s="15">
        <v>0</v>
      </c>
      <c r="E20" s="15"/>
      <c r="F20" s="15">
        <v>0</v>
      </c>
      <c r="G20" s="15"/>
      <c r="H20" s="15">
        <v>-49</v>
      </c>
      <c r="I20" s="15"/>
      <c r="J20" s="15">
        <f>+F20+H20</f>
        <v>-49</v>
      </c>
      <c r="K20" s="10"/>
      <c r="L20" s="60"/>
      <c r="M20" s="60"/>
    </row>
    <row r="21" spans="1:13" x14ac:dyDescent="0.2">
      <c r="A21" s="10"/>
      <c r="B21" s="10"/>
      <c r="C21" s="10" t="s">
        <v>132</v>
      </c>
      <c r="D21" s="15">
        <v>0</v>
      </c>
      <c r="E21" s="15"/>
      <c r="F21" s="15">
        <v>0</v>
      </c>
      <c r="G21" s="15"/>
      <c r="H21" s="15">
        <f>'Balance Sheet'!I47</f>
        <v>3933863</v>
      </c>
      <c r="I21" s="15"/>
      <c r="J21" s="15">
        <f>+F21+H21</f>
        <v>3933863</v>
      </c>
      <c r="K21" s="10"/>
      <c r="L21" s="60"/>
      <c r="M21" s="60"/>
    </row>
    <row r="22" spans="1:13" ht="13.5" thickBot="1" x14ac:dyDescent="0.25">
      <c r="A22" s="10"/>
      <c r="B22" s="10" t="s">
        <v>135</v>
      </c>
      <c r="C22" s="10"/>
      <c r="D22" s="28">
        <f>SUM(D18:D21)</f>
        <v>300000</v>
      </c>
      <c r="E22" s="15"/>
      <c r="F22" s="19">
        <f>SUM(F18:F21)</f>
        <v>3000000</v>
      </c>
      <c r="G22" s="15"/>
      <c r="H22" s="19">
        <f>SUM(H18:H21)</f>
        <v>4752690</v>
      </c>
      <c r="I22" s="15"/>
      <c r="J22" s="19">
        <f>SUM(J18:J21)</f>
        <v>7752690</v>
      </c>
      <c r="K22" s="10"/>
      <c r="L22" s="2"/>
      <c r="M22" s="60"/>
    </row>
    <row r="23" spans="1:13" ht="13.5" thickTop="1" x14ac:dyDescent="0.2">
      <c r="A23" s="10"/>
      <c r="B23" s="10"/>
      <c r="C23" s="10" t="s">
        <v>45</v>
      </c>
      <c r="D23" s="15">
        <v>0</v>
      </c>
      <c r="E23" s="15"/>
      <c r="F23" s="15">
        <v>0</v>
      </c>
      <c r="G23" s="15"/>
      <c r="H23" s="15">
        <f>'Balance Sheet'!I50</f>
        <v>0</v>
      </c>
      <c r="I23" s="15"/>
      <c r="J23" s="15">
        <f>+F23+H23</f>
        <v>0</v>
      </c>
      <c r="K23" s="10"/>
      <c r="L23" s="2"/>
      <c r="M23" s="60"/>
    </row>
    <row r="24" spans="1:13" x14ac:dyDescent="0.2">
      <c r="A24" s="10"/>
      <c r="B24" s="10"/>
      <c r="C24" s="10" t="s">
        <v>131</v>
      </c>
      <c r="D24" s="15">
        <v>0</v>
      </c>
      <c r="E24" s="15"/>
      <c r="F24" s="15">
        <v>0</v>
      </c>
      <c r="G24" s="15"/>
      <c r="H24" s="15">
        <v>-745.66</v>
      </c>
      <c r="I24" s="15"/>
      <c r="J24" s="15">
        <f>+F24+H24</f>
        <v>-745.66</v>
      </c>
      <c r="K24" s="10"/>
      <c r="M24" s="60"/>
    </row>
    <row r="25" spans="1:13" x14ac:dyDescent="0.2">
      <c r="A25" s="10"/>
      <c r="B25" s="10"/>
      <c r="C25" s="10" t="s">
        <v>132</v>
      </c>
      <c r="D25" s="15">
        <v>0</v>
      </c>
      <c r="E25" s="15"/>
      <c r="F25" s="15">
        <v>0</v>
      </c>
      <c r="G25" s="15"/>
      <c r="H25" s="15">
        <f>'Balance Sheet'!G47</f>
        <v>1310132.8400000001</v>
      </c>
      <c r="I25" s="15"/>
      <c r="J25" s="15">
        <f>+F25+H25</f>
        <v>1310132.8400000001</v>
      </c>
      <c r="K25" s="10"/>
      <c r="L25" s="2"/>
      <c r="M25" s="60"/>
    </row>
    <row r="26" spans="1:13" ht="13.5" thickBot="1" x14ac:dyDescent="0.25">
      <c r="A26" s="10"/>
      <c r="B26" s="10" t="s">
        <v>136</v>
      </c>
      <c r="C26" s="10"/>
      <c r="D26" s="28">
        <f>SUM(D22:D25)</f>
        <v>300000</v>
      </c>
      <c r="E26" s="15"/>
      <c r="F26" s="19">
        <f>SUM(F22:F25)</f>
        <v>3000000</v>
      </c>
      <c r="G26" s="15"/>
      <c r="H26" s="19">
        <f>SUM(H22:H25)</f>
        <v>6062077.1799999997</v>
      </c>
      <c r="I26" s="15"/>
      <c r="J26" s="19">
        <f>SUM(J22:J25)</f>
        <v>9062077.1799999997</v>
      </c>
      <c r="K26" s="10"/>
      <c r="L26" s="60"/>
      <c r="M26" s="60"/>
    </row>
    <row r="27" spans="1:13" ht="13.5" thickTop="1" x14ac:dyDescent="0.2">
      <c r="A27" s="10"/>
      <c r="B27" s="10"/>
      <c r="C27" s="10" t="s">
        <v>45</v>
      </c>
      <c r="D27" s="15">
        <v>0</v>
      </c>
      <c r="E27" s="15"/>
      <c r="F27" s="15">
        <v>0</v>
      </c>
      <c r="G27" s="15"/>
      <c r="H27" s="15">
        <f>'Balance Sheet'!I54</f>
        <v>0</v>
      </c>
      <c r="I27" s="15"/>
      <c r="J27" s="15">
        <f>+F27+H27</f>
        <v>0</v>
      </c>
      <c r="K27" s="10"/>
    </row>
    <row r="28" spans="1:13" x14ac:dyDescent="0.2">
      <c r="B28" s="10"/>
      <c r="C28" s="10" t="s">
        <v>131</v>
      </c>
      <c r="D28" s="15">
        <v>0</v>
      </c>
      <c r="E28" s="15"/>
      <c r="F28" s="15">
        <v>0</v>
      </c>
      <c r="G28" s="15"/>
      <c r="H28" s="15">
        <v>328</v>
      </c>
      <c r="I28" s="15"/>
      <c r="J28" s="15">
        <f>+F28+H28</f>
        <v>328</v>
      </c>
    </row>
    <row r="29" spans="1:13" x14ac:dyDescent="0.2">
      <c r="B29" s="10"/>
      <c r="C29" s="10" t="s">
        <v>132</v>
      </c>
      <c r="D29" s="15">
        <v>0</v>
      </c>
      <c r="E29" s="15"/>
      <c r="F29" s="15">
        <v>0</v>
      </c>
      <c r="G29" s="15"/>
      <c r="H29" s="15">
        <f>'Balance Sheet'!E47</f>
        <v>534630.15</v>
      </c>
      <c r="I29" s="15"/>
      <c r="J29" s="15">
        <f>+F29+H29</f>
        <v>534630.15</v>
      </c>
    </row>
    <row r="30" spans="1:13" ht="13.5" thickBot="1" x14ac:dyDescent="0.25">
      <c r="B30" s="10" t="s">
        <v>136</v>
      </c>
      <c r="C30" s="10"/>
      <c r="D30" s="28">
        <f>SUM(D26:D29)</f>
        <v>300000</v>
      </c>
      <c r="E30" s="15"/>
      <c r="F30" s="19">
        <f>SUM(F26:F29)</f>
        <v>3000000</v>
      </c>
      <c r="G30" s="15"/>
      <c r="H30" s="19">
        <f>SUM(H26:H29)</f>
        <v>6597035.3300000001</v>
      </c>
      <c r="I30" s="15"/>
      <c r="J30" s="19">
        <f>SUM(J26:J29)</f>
        <v>9597035.3300000001</v>
      </c>
    </row>
    <row r="31" spans="1:13" ht="13.5" thickTop="1" x14ac:dyDescent="0.2"/>
    <row r="32" spans="1:13" x14ac:dyDescent="0.2">
      <c r="J32" s="31"/>
    </row>
  </sheetData>
  <mergeCells count="5">
    <mergeCell ref="B2:J2"/>
    <mergeCell ref="B3:J3"/>
    <mergeCell ref="B4:J4"/>
    <mergeCell ref="J7:J9"/>
    <mergeCell ref="D8:F8"/>
  </mergeCells>
  <pageMargins left="0.5" right="0.5" top="0.75" bottom="0.75" header="0.3" footer="0.3"/>
  <pageSetup fitToWidth="0" fitToHeight="0" orientation="landscape" r:id="rId1"/>
  <headerFooter>
    <oddFooter>&amp;CThis document is strictly private, confidential and personal to its recipients and should not be passed to any third party without the prior written consent of X Golf America, Inc.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A889F780D0140A376AFC9B0965428" ma:contentTypeVersion="20" ma:contentTypeDescription="Create a new document." ma:contentTypeScope="" ma:versionID="b6a3f6731fe1498441365a29aefe4fa0">
  <xsd:schema xmlns:xsd="http://www.w3.org/2001/XMLSchema" xmlns:xs="http://www.w3.org/2001/XMLSchema" xmlns:p="http://schemas.microsoft.com/office/2006/metadata/properties" xmlns:ns2="83f0c1f4-4787-48ff-8e0c-5738a6b3b7fa" xmlns:ns3="34b6e536-437f-4298-a15c-62f5364254a6" targetNamespace="http://schemas.microsoft.com/office/2006/metadata/properties" ma:root="true" ma:fieldsID="5ec044ede2034d791a30c731db0198f9" ns2:_="" ns3:_="">
    <xsd:import namespace="83f0c1f4-4787-48ff-8e0c-5738a6b3b7fa"/>
    <xsd:import namespace="34b6e536-437f-4298-a15c-62f536425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0c1f4-4787-48ff-8e0c-5738a6b3b7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c1cb4aa-5a5c-4ed3-85ba-6899cd661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6e536-437f-4298-a15c-62f536425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fb25183-3761-486c-9c8e-8f1796dfc880}" ma:internalName="TaxCatchAll" ma:showField="CatchAllData" ma:web="34b6e536-437f-4298-a15c-62f536425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b6e536-437f-4298-a15c-62f5364254a6" xsi:nil="true"/>
    <lcf76f155ced4ddcb4097134ff3c332f xmlns="83f0c1f4-4787-48ff-8e0c-5738a6b3b7f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75B298-2B48-4D79-A348-91DD43F50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0c1f4-4787-48ff-8e0c-5738a6b3b7fa"/>
    <ds:schemaRef ds:uri="34b6e536-437f-4298-a15c-62f536425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92E64F-168C-4C21-8189-1F82D22963A4}">
  <ds:schemaRefs>
    <ds:schemaRef ds:uri="http://schemas.microsoft.com/office/2006/metadata/properties"/>
    <ds:schemaRef ds:uri="http://schemas.microsoft.com/office/infopath/2007/PartnerControls"/>
    <ds:schemaRef ds:uri="34b6e536-437f-4298-a15c-62f5364254a6"/>
    <ds:schemaRef ds:uri="83f0c1f4-4787-48ff-8e0c-5738a6b3b7fa"/>
  </ds:schemaRefs>
</ds:datastoreItem>
</file>

<file path=customXml/itemProps3.xml><?xml version="1.0" encoding="utf-8"?>
<ds:datastoreItem xmlns:ds="http://schemas.openxmlformats.org/officeDocument/2006/customXml" ds:itemID="{8E29F24D-C1E5-44E4-86C7-64F4828619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Sheet</vt:lpstr>
      <vt:lpstr>Income Statement</vt:lpstr>
      <vt:lpstr>Cash Flows</vt:lpstr>
      <vt:lpstr>Capital Expenses</vt:lpstr>
      <vt:lpstr>Stock Equity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Perras</dc:creator>
  <cp:keywords/>
  <dc:description/>
  <cp:lastModifiedBy>Matt Maline</cp:lastModifiedBy>
  <cp:revision/>
  <cp:lastPrinted>2026-06-11T17:22:35Z</cp:lastPrinted>
  <dcterms:created xsi:type="dcterms:W3CDTF">2020-04-10T17:52:38Z</dcterms:created>
  <dcterms:modified xsi:type="dcterms:W3CDTF">2026-06-11T17:23:39Z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0x010100308A889F780D0140A376AFC9B0965428</vt:lpwstr>
  </property>
  <property fmtid="{D5CDD505-2E9C-101B-9397-08002B2CF9AE}" pid="3" name="MediaServiceImageTags">
    <vt:lpwstr/>
  </property>
</Properties>
</file>